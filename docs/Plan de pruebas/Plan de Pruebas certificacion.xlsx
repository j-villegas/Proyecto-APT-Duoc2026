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lan de prueba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Datos" sheetId="4" state="visible" r:id="rId4"/>
    <sheet xmlns:r="http://schemas.openxmlformats.org/officeDocument/2006/relationships" name="Datos del plan" sheetId="5" state="hidden" r:id="rId5"/>
  </sheets>
  <definedNames>
    <definedName name="_xlnm._FilterDatabase" localSheetId="1" hidden="1">'Plan de prueba'!$E$1:$T$313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z val="24"/>
    </font>
    <font>
      <name val="Calibri"/>
      <sz val="11"/>
    </font>
    <font>
      <name val="Calibri"/>
      <color rgb="FF000000"/>
      <sz val="11"/>
    </font>
    <font>
      <name val="Inconsolata"/>
      <color rgb="FF000000"/>
      <sz val="11"/>
    </font>
    <font>
      <name val="Calibri"/>
      <color rgb="FF000000"/>
      <sz val="9"/>
    </font>
    <font>
      <name val="Calibri"/>
      <color theme="1"/>
      <sz val="20"/>
    </font>
    <font>
      <name val="Calibri"/>
      <sz val="8"/>
      <scheme val="minor"/>
    </font>
    <font>
      <name val="Calibri"/>
      <family val="2"/>
      <color theme="1"/>
      <sz val="11"/>
      <u val="single"/>
    </font>
    <font>
      <name val="Calibri"/>
      <family val="2"/>
      <sz val="11"/>
      <u val="single"/>
    </font>
    <font>
      <name val="Calibri"/>
      <family val="2"/>
      <color theme="1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27"/>
  </cellStyleXfs>
  <cellXfs count="10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15" pivotButton="0" quotePrefix="0" xfId="0"/>
    <xf numFmtId="0" fontId="1" fillId="2" borderId="16" pivotButton="0" quotePrefix="0" xfId="0"/>
    <xf numFmtId="0" fontId="1" fillId="2" borderId="17" pivotButton="0" quotePrefix="0" xfId="0"/>
    <xf numFmtId="0" fontId="1" fillId="0" borderId="0" pivotButton="0" quotePrefix="0" xfId="0"/>
    <xf numFmtId="0" fontId="1" fillId="3" borderId="18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1" fontId="1" fillId="4" borderId="18" applyAlignment="1" pivotButton="0" quotePrefix="0" xfId="0">
      <alignment horizontal="center" vertical="center" wrapText="1"/>
    </xf>
    <xf numFmtId="0" fontId="1" fillId="4" borderId="18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8" applyAlignment="1" pivotButton="0" quotePrefix="0" xfId="0">
      <alignment vertical="center" wrapText="1"/>
    </xf>
    <xf numFmtId="0" fontId="4" fillId="4" borderId="18" applyAlignment="1" pivotButton="0" quotePrefix="0" xfId="0">
      <alignment wrapText="1"/>
    </xf>
    <xf numFmtId="0" fontId="4" fillId="4" borderId="20" applyAlignment="1" pivotButton="0" quotePrefix="0" xfId="0">
      <alignment wrapText="1"/>
    </xf>
    <xf numFmtId="0" fontId="1" fillId="4" borderId="18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" fillId="4" borderId="18" applyAlignment="1" pivotButton="0" quotePrefix="0" xfId="0">
      <alignment horizontal="center" vertical="center" wrapText="1"/>
    </xf>
    <xf numFmtId="0" fontId="1" fillId="4" borderId="18" applyAlignment="1" pivotButton="0" quotePrefix="0" xfId="0">
      <alignment vertical="center" wrapText="1"/>
    </xf>
    <xf numFmtId="1" fontId="1" fillId="4" borderId="18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18" pivotButton="0" quotePrefix="0" xfId="0"/>
    <xf numFmtId="0" fontId="0" fillId="0" borderId="0" pivotButton="0" quotePrefix="0" xfId="0"/>
    <xf numFmtId="1" fontId="1" fillId="0" borderId="27" applyAlignment="1" pivotButton="0" quotePrefix="0" xfId="0">
      <alignment horizontal="center" vertical="center" wrapText="1"/>
    </xf>
    <xf numFmtId="0" fontId="1" fillId="5" borderId="0" pivotButton="0" quotePrefix="0" xfId="0"/>
    <xf numFmtId="0" fontId="0" fillId="5" borderId="0" pivotButton="0" quotePrefix="0" xfId="0"/>
    <xf numFmtId="0" fontId="5" fillId="6" borderId="1" pivotButton="0" quotePrefix="0" xfId="0"/>
    <xf numFmtId="0" fontId="6" fillId="5" borderId="0" applyAlignment="1" pivotButton="0" quotePrefix="0" xfId="0">
      <alignment horizontal="center"/>
    </xf>
    <xf numFmtId="0" fontId="6" fillId="5" borderId="18" applyAlignment="1" pivotButton="0" quotePrefix="0" xfId="0">
      <alignment horizontal="center"/>
    </xf>
    <xf numFmtId="0" fontId="1" fillId="2" borderId="27" applyAlignment="1" pivotButton="0" quotePrefix="0" xfId="0">
      <alignment horizontal="center" vertical="center"/>
    </xf>
    <xf numFmtId="0" fontId="1" fillId="2" borderId="27" pivotButton="0" quotePrefix="0" xfId="0"/>
    <xf numFmtId="0" fontId="1" fillId="2" borderId="36" applyAlignment="1" pivotButton="0" quotePrefix="0" xfId="0">
      <alignment horizontal="center" vertical="center"/>
    </xf>
    <xf numFmtId="0" fontId="1" fillId="5" borderId="18" applyAlignment="1" pivotButton="0" quotePrefix="0" xfId="0">
      <alignment horizontal="center"/>
    </xf>
    <xf numFmtId="0" fontId="9" fillId="2" borderId="1" pivotButton="0" quotePrefix="0" xfId="0"/>
    <xf numFmtId="0" fontId="2" fillId="2" borderId="7" applyAlignment="1" pivotButton="0" quotePrefix="0" xfId="0">
      <alignment horizontal="center" vertical="center" wrapText="1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0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0" fontId="1" fillId="2" borderId="29" applyAlignment="1" pivotButton="0" quotePrefix="0" xfId="0">
      <alignment horizontal="center" vertical="center" wrapText="1"/>
    </xf>
    <xf numFmtId="0" fontId="1" fillId="2" borderId="32" applyAlignment="1" pivotButton="0" quotePrefix="0" xfId="0">
      <alignment horizontal="center" vertical="center" wrapText="1"/>
    </xf>
    <xf numFmtId="0" fontId="1" fillId="2" borderId="33" applyAlignment="1" pivotButton="0" quotePrefix="0" xfId="0">
      <alignment horizontal="center" vertical="center" wrapText="1"/>
    </xf>
    <xf numFmtId="0" fontId="1" fillId="2" borderId="27" applyAlignment="1" pivotButton="0" quotePrefix="0" xfId="0">
      <alignment horizontal="center" vertical="center" wrapText="1"/>
    </xf>
    <xf numFmtId="0" fontId="1" fillId="2" borderId="31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1" fillId="5" borderId="27" applyAlignment="1" pivotButton="0" quotePrefix="0" xfId="0">
      <alignment horizontal="center"/>
    </xf>
    <xf numFmtId="0" fontId="1" fillId="5" borderId="34" applyAlignment="1" pivotButton="0" quotePrefix="0" xfId="0">
      <alignment horizontal="center"/>
    </xf>
    <xf numFmtId="0" fontId="1" fillId="2" borderId="28" pivotButton="0" quotePrefix="0" xfId="0"/>
    <xf numFmtId="0" fontId="1" fillId="2" borderId="21" pivotButton="0" quotePrefix="0" xfId="0"/>
    <xf numFmtId="0" fontId="1" fillId="2" borderId="24" applyAlignment="1" pivotButton="0" quotePrefix="0" xfId="0">
      <alignment horizontal="center" vertical="center"/>
    </xf>
    <xf numFmtId="0" fontId="3" fillId="5" borderId="25" pivotButton="0" quotePrefix="0" xfId="0"/>
    <xf numFmtId="0" fontId="3" fillId="5" borderId="22" pivotButton="0" quotePrefix="0" xfId="0"/>
    <xf numFmtId="0" fontId="1" fillId="2" borderId="26" applyAlignment="1" pivotButton="0" quotePrefix="0" xfId="0">
      <alignment vertical="center"/>
    </xf>
    <xf numFmtId="0" fontId="3" fillId="5" borderId="27" pivotButton="0" quotePrefix="0" xfId="0"/>
    <xf numFmtId="0" fontId="1" fillId="2" borderId="28" applyAlignment="1" pivotButton="0" quotePrefix="0" xfId="0">
      <alignment vertical="center"/>
    </xf>
    <xf numFmtId="0" fontId="3" fillId="5" borderId="21" pivotButton="0" quotePrefix="0" xfId="0"/>
    <xf numFmtId="14" fontId="7" fillId="2" borderId="29" applyAlignment="1" pivotButton="0" quotePrefix="0" xfId="0">
      <alignment horizontal="center" vertical="center"/>
    </xf>
    <xf numFmtId="0" fontId="3" fillId="5" borderId="30" pivotButton="0" quotePrefix="0" xfId="0"/>
    <xf numFmtId="0" fontId="3" fillId="5" borderId="31" pivotButton="0" quotePrefix="0" xfId="0"/>
    <xf numFmtId="0" fontId="3" fillId="5" borderId="23" pivotButton="0" quotePrefix="0" xfId="0"/>
    <xf numFmtId="9" fontId="7" fillId="2" borderId="24" applyAlignment="1" pivotButton="0" quotePrefix="0" xfId="0">
      <alignment horizontal="center" vertical="center"/>
    </xf>
    <xf numFmtId="0" fontId="9" fillId="2" borderId="7" applyAlignment="1" pivotButton="0" quotePrefix="0" xfId="0">
      <alignment horizontal="left" vertical="top" wrapText="1"/>
    </xf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1" fillId="0" borderId="0" pivotButton="0" quotePrefix="0" xfId="0"/>
    <xf numFmtId="0" fontId="10" fillId="0" borderId="11" pivotButton="0" quotePrefix="0" xfId="0"/>
    <xf numFmtId="0" fontId="10" fillId="0" borderId="12" pivotButton="0" quotePrefix="0" xfId="0"/>
    <xf numFmtId="0" fontId="10" fillId="0" borderId="13" pivotButton="0" quotePrefix="0" xfId="0"/>
    <xf numFmtId="0" fontId="10" fillId="0" borderId="14" pivotButton="0" quotePrefix="0" xfId="0"/>
    <xf numFmtId="0" fontId="9" fillId="4" borderId="18" applyAlignment="1" pivotButton="0" quotePrefix="0" xfId="0">
      <alignment horizontal="center" vertical="center" wrapText="1"/>
    </xf>
    <xf numFmtId="0" fontId="2" fillId="2" borderId="27" applyAlignment="1" pivotButton="0" quotePrefix="0" xfId="0">
      <alignment horizontal="center" vertical="center" wrapText="1"/>
    </xf>
    <xf numFmtId="0" fontId="9" fillId="2" borderId="27" applyAlignment="1" pivotButton="0" quotePrefix="0" xfId="0">
      <alignment horizontal="left" vertical="top" wrapText="1"/>
    </xf>
    <xf numFmtId="0" fontId="1" fillId="2" borderId="18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2" pivotButton="0" quotePrefix="0" xfId="0"/>
    <xf numFmtId="0" fontId="1" fillId="2" borderId="2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0" fillId="0" borderId="21" pivotButton="0" quotePrefix="0" xfId="0"/>
    <xf numFmtId="14" fontId="7" fillId="2" borderId="18" applyAlignment="1" pivotButton="0" quotePrefix="0" xfId="0">
      <alignment horizontal="center" vertical="center"/>
    </xf>
    <xf numFmtId="0" fontId="0" fillId="0" borderId="30" pivotButton="0" quotePrefix="0" xfId="0"/>
    <xf numFmtId="9" fontId="7" fillId="2" borderId="1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3" pivotButton="0" quotePrefix="0" xfId="0"/>
    <xf numFmtId="0" fontId="1" fillId="2" borderId="28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L" sz="1400" b="0" i="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rich>
      </tx>
      <overlay val="0"/>
    </title>
    <plotArea>
      <layout/>
      <barChart>
        <barDir val="bar"/>
        <grouping val="clustered"/>
        <varyColors val="1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Control!$C$6:$C$10</f>
              <strCache>
                <ptCount val="5"/>
                <pt idx="0">
                  <v>OK</v>
                </pt>
                <pt idx="1">
                  <v>NOK</v>
                </pt>
                <pt idx="2">
                  <v>No ejecutado</v>
                </pt>
                <pt idx="3">
                  <v>Bloqueado</v>
                </pt>
                <pt idx="4">
                  <v>Obsoleto</v>
                </pt>
              </strCache>
            </strRef>
          </cat>
          <val>
            <numRef>
              <f>Control!$D$6:$D$10</f>
              <numCache>
                <formatCode>General</formatCode>
                <ptCount val="5"/>
                <pt idx="0">
                  <v>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994296432"/>
        <axId val="2024180122"/>
      </barChart>
      <catAx>
        <axId val="1994296432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L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s-419"/>
          </a:p>
        </txPr>
        <crossAx val="2024180122"/>
        <crosses val="autoZero"/>
        <auto val="1"/>
        <lblAlgn val="ctr"/>
        <lblOffset val="100"/>
        <noMultiLvlLbl val="1"/>
      </catAx>
      <valAx>
        <axId val="2024180122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L"/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s-419"/>
          </a:p>
        </txPr>
        <crossAx val="1994296432"/>
        <crosses val="max"/>
        <crossBetween val="between"/>
      </valAx>
    </plotArea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s-CL"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F6B26B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FFD966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93C47D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76A5AF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cat>
            <strRef>
              <f>Control!$D$18:$D$21</f>
              <strCache>
                <ptCount val="3"/>
                <pt idx="0">
                  <v>Alumno 1</v>
                </pt>
                <pt idx="1">
                  <v>Alumno 2</v>
                </pt>
                <pt idx="2">
                  <v>Alumno 3</v>
                </pt>
              </strCache>
            </strRef>
          </cat>
          <val>
            <numRef>
              <f>Control!$E$18:$E$21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invertIfNegative val="1"/>
          <cat>
            <strRef>
              <f>Control!$D$18:$D$21</f>
              <strCache>
                <ptCount val="3"/>
                <pt idx="0">
                  <v>Alumno 1</v>
                </pt>
                <pt idx="1">
                  <v>Alumno 2</v>
                </pt>
                <pt idx="2">
                  <v>Alumno 3</v>
                </pt>
              </strCache>
            </strRef>
          </cat>
          <val>
            <numRef>
              <f>Control!$F$18:$F$21</f>
              <numCache>
                <formatCode>General</formatCode>
                <ptCount val="4"/>
                <pt idx="0">
                  <v>2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02035930"/>
        <axId val="954254991"/>
      </barChart>
      <catAx>
        <axId val="150203593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L"/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s-419"/>
          </a:p>
        </txPr>
        <crossAx val="954254991"/>
        <crosses val="autoZero"/>
        <auto val="1"/>
        <lblAlgn val="ctr"/>
        <lblOffset val="100"/>
        <noMultiLvlLbl val="1"/>
      </catAx>
      <valAx>
        <axId val="95425499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s-CL"/>
              </a:p>
            </rich>
          </tx>
          <overlay val="0"/>
        </title>
        <numFmt formatCode="General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s-419"/>
          </a:p>
        </txPr>
        <crossAx val="1502035930"/>
        <crosses val="autoZero"/>
        <crossBetween val="between"/>
      </valAx>
    </plotArea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95250</colOff>
      <row>0</row>
      <rowOff>57150</rowOff>
    </from>
    <ext cx="4314825" cy="23241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6</col>
      <colOff>66675</colOff>
      <row>13</row>
      <rowOff>104775</rowOff>
    </from>
    <ext cx="4429125" cy="21145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selection activeCell="E35" sqref="E35:I39"/>
    </sheetView>
  </sheetViews>
  <sheetFormatPr baseColWidth="10" defaultColWidth="14.42578125" defaultRowHeight="15" customHeight="1"/>
  <cols>
    <col width="3.28515625" customWidth="1" style="49" min="1" max="3"/>
    <col width="9.42578125" customWidth="1" style="49" min="4" max="10"/>
    <col width="3.28515625" customWidth="1" style="49" min="11" max="12"/>
    <col width="10.7109375" customWidth="1" style="49" min="13" max="25"/>
  </cols>
  <sheetData>
    <row r="1" ht="14.25" customHeight="1" s="4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49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49">
      <c r="A3" s="1" t="n"/>
      <c r="B3" s="5" t="n"/>
      <c r="C3" s="2" t="n"/>
      <c r="D3" s="3" t="n"/>
      <c r="E3" s="3" t="n"/>
      <c r="F3" s="3" t="n"/>
      <c r="G3" s="3" t="n"/>
      <c r="H3" s="3" t="n"/>
      <c r="I3" s="3" t="n"/>
      <c r="J3" s="3" t="n"/>
      <c r="K3" s="4" t="n"/>
      <c r="L3" s="6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49">
      <c r="A4" s="1" t="n"/>
      <c r="B4" s="5" t="n"/>
      <c r="C4" s="5" t="n"/>
      <c r="D4" s="1" t="n"/>
      <c r="E4" s="1" t="n"/>
      <c r="F4" s="1" t="n"/>
      <c r="G4" s="1" t="n"/>
      <c r="H4" s="1" t="n"/>
      <c r="I4" s="1" t="n"/>
      <c r="J4" s="1" t="n"/>
      <c r="K4" s="6" t="n"/>
      <c r="L4" s="6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49">
      <c r="A5" s="1" t="n"/>
      <c r="B5" s="5" t="n"/>
      <c r="C5" s="5" t="n"/>
      <c r="D5" s="1" t="n"/>
      <c r="E5" s="1" t="n"/>
      <c r="F5" s="1" t="n"/>
      <c r="G5" s="1" t="n"/>
      <c r="H5" s="1" t="n"/>
      <c r="I5" s="1" t="n"/>
      <c r="J5" s="1" t="n"/>
      <c r="K5" s="6" t="n"/>
      <c r="L5" s="6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49">
      <c r="A6" s="1" t="n"/>
      <c r="B6" s="5" t="n"/>
      <c r="C6" s="5" t="n"/>
      <c r="D6" s="1" t="n"/>
      <c r="E6" s="86" t="inlineStr">
        <is>
          <t>Plan de prueba software TRAZZA</t>
        </is>
      </c>
      <c r="J6" s="1" t="n"/>
      <c r="K6" s="6" t="n"/>
      <c r="L6" s="6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49">
      <c r="A7" s="1" t="n"/>
      <c r="B7" s="5" t="n"/>
      <c r="C7" s="5" t="n"/>
      <c r="D7" s="1" t="n"/>
      <c r="J7" s="1" t="n"/>
      <c r="K7" s="6" t="n"/>
      <c r="L7" s="6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49">
      <c r="A8" s="1" t="n"/>
      <c r="B8" s="5" t="n"/>
      <c r="C8" s="5" t="n"/>
      <c r="D8" s="1" t="n"/>
      <c r="J8" s="1" t="n"/>
      <c r="K8" s="6" t="n"/>
      <c r="L8" s="6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49">
      <c r="A9" s="1" t="n"/>
      <c r="B9" s="5" t="n"/>
      <c r="C9" s="5" t="n"/>
      <c r="D9" s="1" t="n"/>
      <c r="J9" s="1" t="n"/>
      <c r="K9" s="6" t="n"/>
      <c r="L9" s="6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49">
      <c r="A10" s="1" t="n"/>
      <c r="B10" s="5" t="n"/>
      <c r="C10" s="5" t="n"/>
      <c r="D10" s="1" t="n"/>
      <c r="J10" s="1" t="n"/>
      <c r="K10" s="6" t="n"/>
      <c r="L10" s="6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49">
      <c r="A11" s="1" t="n"/>
      <c r="B11" s="5" t="n"/>
      <c r="C11" s="5" t="n"/>
      <c r="D11" s="1" t="n"/>
      <c r="E11" s="1" t="n"/>
      <c r="F11" s="1" t="n"/>
      <c r="G11" s="1" t="n"/>
      <c r="H11" s="1" t="n"/>
      <c r="I11" s="1" t="n"/>
      <c r="J11" s="1" t="n"/>
      <c r="K11" s="6" t="n"/>
      <c r="L11" s="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49">
      <c r="A12" s="1" t="n"/>
      <c r="B12" s="5" t="n"/>
      <c r="C12" s="5" t="n"/>
      <c r="D12" s="1" t="n"/>
      <c r="E12" s="1" t="n"/>
      <c r="F12" s="1" t="n"/>
      <c r="G12" s="1" t="n"/>
      <c r="H12" s="1" t="n"/>
      <c r="I12" s="1" t="n"/>
      <c r="J12" s="1" t="n"/>
      <c r="K12" s="6" t="n"/>
      <c r="L12" s="6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9">
      <c r="A13" s="1" t="n"/>
      <c r="B13" s="5" t="n"/>
      <c r="C13" s="5" t="n"/>
      <c r="D13" s="1" t="n"/>
      <c r="E13" s="1" t="n"/>
      <c r="F13" s="1" t="n"/>
      <c r="G13" s="1" t="n"/>
      <c r="H13" s="1" t="n"/>
      <c r="I13" s="1" t="n"/>
      <c r="J13" s="1" t="n"/>
      <c r="K13" s="6" t="n"/>
      <c r="L13" s="6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49">
      <c r="A14" s="1" t="n"/>
      <c r="B14" s="5" t="n"/>
      <c r="C14" s="5" t="n"/>
      <c r="D14" s="1" t="n"/>
      <c r="E14" s="1" t="n"/>
      <c r="F14" s="1" t="n"/>
      <c r="G14" s="1" t="n"/>
      <c r="H14" s="1" t="n"/>
      <c r="I14" s="1" t="n"/>
      <c r="J14" s="1" t="n"/>
      <c r="K14" s="6" t="n"/>
      <c r="L14" s="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49">
      <c r="A15" s="1" t="n"/>
      <c r="B15" s="5" t="n"/>
      <c r="C15" s="5" t="n"/>
      <c r="D15" s="1" t="n"/>
      <c r="E15" s="1" t="n"/>
      <c r="F15" s="1" t="n"/>
      <c r="G15" s="1" t="n"/>
      <c r="H15" s="1" t="n"/>
      <c r="I15" s="1" t="n"/>
      <c r="J15" s="1" t="n"/>
      <c r="K15" s="6" t="n"/>
      <c r="L15" s="6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49">
      <c r="A16" s="1" t="n"/>
      <c r="B16" s="5" t="n"/>
      <c r="C16" s="5" t="n"/>
      <c r="D16" s="1" t="n"/>
      <c r="E16" s="1" t="n"/>
      <c r="F16" s="1" t="n"/>
      <c r="G16" s="1" t="n"/>
      <c r="H16" s="1" t="n"/>
      <c r="I16" s="1" t="n"/>
      <c r="J16" s="1" t="n"/>
      <c r="K16" s="6" t="n"/>
      <c r="L16" s="6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49">
      <c r="A17" s="1" t="n"/>
      <c r="B17" s="5" t="n"/>
      <c r="C17" s="5" t="n"/>
      <c r="D17" s="1" t="n"/>
      <c r="E17" s="1" t="n"/>
      <c r="F17" s="1" t="n"/>
      <c r="G17" s="1" t="n"/>
      <c r="H17" s="1" t="n"/>
      <c r="I17" s="1" t="n"/>
      <c r="J17" s="1" t="n"/>
      <c r="K17" s="6" t="n"/>
      <c r="L17" s="6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49">
      <c r="A18" s="1" t="n"/>
      <c r="B18" s="5" t="n"/>
      <c r="C18" s="5" t="n"/>
      <c r="D18" s="1" t="n"/>
      <c r="E18" s="1" t="n"/>
      <c r="F18" s="1" t="n"/>
      <c r="G18" s="1" t="n"/>
      <c r="H18" s="1" t="n"/>
      <c r="I18" s="1" t="n"/>
      <c r="J18" s="1" t="n"/>
      <c r="K18" s="6" t="n"/>
      <c r="L18" s="6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49">
      <c r="A19" s="1" t="n"/>
      <c r="B19" s="5" t="n"/>
      <c r="C19" s="5" t="n"/>
      <c r="D19" s="1" t="n"/>
      <c r="E19" s="1" t="n"/>
      <c r="F19" s="1" t="n"/>
      <c r="G19" s="1" t="n"/>
      <c r="H19" s="1" t="n"/>
      <c r="I19" s="1" t="n"/>
      <c r="J19" s="1" t="n"/>
      <c r="K19" s="6" t="n"/>
      <c r="L19" s="6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49">
      <c r="A20" s="1" t="n"/>
      <c r="B20" s="5" t="n"/>
      <c r="C20" s="5" t="n"/>
      <c r="D20" s="1" t="n"/>
      <c r="E20" s="1" t="n"/>
      <c r="F20" s="1" t="n"/>
      <c r="G20" s="1" t="n"/>
      <c r="H20" s="1" t="n"/>
      <c r="I20" s="1" t="n"/>
      <c r="J20" s="1" t="n"/>
      <c r="K20" s="6" t="n"/>
      <c r="L20" s="6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49">
      <c r="A21" s="1" t="n"/>
      <c r="B21" s="5" t="n"/>
      <c r="C21" s="5" t="n"/>
      <c r="D21" s="1" t="n"/>
      <c r="E21" s="1" t="n"/>
      <c r="F21" s="1" t="n"/>
      <c r="G21" s="1" t="n"/>
      <c r="H21" s="1" t="n"/>
      <c r="I21" s="1" t="n"/>
      <c r="J21" s="1" t="n"/>
      <c r="K21" s="6" t="n"/>
      <c r="L21" s="6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49">
      <c r="A22" s="1" t="n"/>
      <c r="B22" s="5" t="n"/>
      <c r="C22" s="5" t="n"/>
      <c r="D22" s="1" t="n"/>
      <c r="E22" s="1" t="n"/>
      <c r="F22" s="1" t="n"/>
      <c r="G22" s="1" t="n"/>
      <c r="H22" s="1" t="n"/>
      <c r="I22" s="1" t="n"/>
      <c r="J22" s="1" t="n"/>
      <c r="K22" s="6" t="n"/>
      <c r="L22" s="6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49">
      <c r="A23" s="1" t="n"/>
      <c r="B23" s="5" t="n"/>
      <c r="C23" s="5" t="n"/>
      <c r="D23" s="1" t="n"/>
      <c r="E23" s="1" t="n"/>
      <c r="F23" s="1" t="n"/>
      <c r="G23" s="1" t="n"/>
      <c r="H23" s="1" t="n"/>
      <c r="I23" s="1" t="n"/>
      <c r="J23" s="1" t="n"/>
      <c r="K23" s="6" t="n"/>
      <c r="L23" s="6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49">
      <c r="A24" s="1" t="n"/>
      <c r="B24" s="5" t="n"/>
      <c r="C24" s="5" t="n"/>
      <c r="D24" s="1" t="n"/>
      <c r="E24" s="1" t="n"/>
      <c r="F24" s="1" t="n"/>
      <c r="G24" s="1" t="n"/>
      <c r="H24" s="1" t="n"/>
      <c r="I24" s="1" t="n"/>
      <c r="J24" s="1" t="n"/>
      <c r="K24" s="6" t="n"/>
      <c r="L24" s="6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49">
      <c r="A25" s="1" t="n"/>
      <c r="B25" s="5" t="n"/>
      <c r="C25" s="5" t="n"/>
      <c r="D25" s="1" t="n"/>
      <c r="E25" s="1" t="n"/>
      <c r="F25" s="1" t="n"/>
      <c r="G25" s="1" t="n"/>
      <c r="H25" s="1" t="n"/>
      <c r="I25" s="1" t="n"/>
      <c r="J25" s="1" t="n"/>
      <c r="K25" s="6" t="n"/>
      <c r="L25" s="6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49">
      <c r="A26" s="1" t="n"/>
      <c r="B26" s="5" t="n"/>
      <c r="C26" s="5" t="n"/>
      <c r="D26" s="1" t="n"/>
      <c r="E26" s="1" t="n"/>
      <c r="F26" s="1" t="n"/>
      <c r="G26" s="1" t="n"/>
      <c r="H26" s="1" t="n"/>
      <c r="I26" s="1" t="n"/>
      <c r="J26" s="1" t="n"/>
      <c r="K26" s="6" t="n"/>
      <c r="L26" s="6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49">
      <c r="A27" s="1" t="n"/>
      <c r="B27" s="5" t="n"/>
      <c r="C27" s="5" t="n"/>
      <c r="D27" s="1" t="n"/>
      <c r="E27" s="1" t="n"/>
      <c r="F27" s="1" t="n"/>
      <c r="G27" s="1" t="n"/>
      <c r="H27" s="1" t="n"/>
      <c r="I27" s="1" t="n"/>
      <c r="J27" s="1" t="n"/>
      <c r="K27" s="6" t="n"/>
      <c r="L27" s="6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49">
      <c r="A28" s="1" t="n"/>
      <c r="B28" s="5" t="n"/>
      <c r="C28" s="5" t="n"/>
      <c r="D28" s="1" t="n"/>
      <c r="E28" s="1" t="n"/>
      <c r="F28" s="1" t="n"/>
      <c r="G28" s="1" t="n"/>
      <c r="H28" s="1" t="n"/>
      <c r="I28" s="1" t="n"/>
      <c r="J28" s="1" t="n"/>
      <c r="K28" s="6" t="n"/>
      <c r="L28" s="6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49">
      <c r="A29" s="1" t="n"/>
      <c r="B29" s="5" t="n"/>
      <c r="C29" s="5" t="n"/>
      <c r="D29" s="1" t="n"/>
      <c r="E29" s="1" t="n"/>
      <c r="F29" s="1" t="n"/>
      <c r="G29" s="1" t="n"/>
      <c r="H29" s="1" t="n"/>
      <c r="I29" s="1" t="n"/>
      <c r="J29" s="1" t="n"/>
      <c r="K29" s="6" t="n"/>
      <c r="L29" s="6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49">
      <c r="A30" s="1" t="n"/>
      <c r="B30" s="5" t="n"/>
      <c r="C30" s="5" t="n"/>
      <c r="D30" s="1" t="n"/>
      <c r="E30" s="1" t="n"/>
      <c r="F30" s="1" t="n"/>
      <c r="G30" s="1" t="n"/>
      <c r="H30" s="1" t="n"/>
      <c r="I30" s="1" t="n"/>
      <c r="J30" s="1" t="n"/>
      <c r="K30" s="6" t="n"/>
      <c r="L30" s="6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49">
      <c r="A31" s="1" t="n"/>
      <c r="B31" s="5" t="n"/>
      <c r="C31" s="5" t="n"/>
      <c r="D31" s="1" t="n"/>
      <c r="E31" s="1" t="n"/>
      <c r="F31" s="1" t="n"/>
      <c r="G31" s="1" t="n"/>
      <c r="H31" s="1" t="n"/>
      <c r="I31" s="1" t="n"/>
      <c r="J31" s="1" t="n"/>
      <c r="K31" s="6" t="n"/>
      <c r="L31" s="6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49">
      <c r="A32" s="1" t="n"/>
      <c r="B32" s="5" t="n"/>
      <c r="C32" s="5" t="n"/>
      <c r="D32" s="1" t="n"/>
      <c r="E32" s="1" t="n"/>
      <c r="F32" s="1" t="n"/>
      <c r="G32" s="1" t="n"/>
      <c r="H32" s="1" t="n"/>
      <c r="I32" s="1" t="n"/>
      <c r="J32" s="1" t="n"/>
      <c r="K32" s="6" t="n"/>
      <c r="L32" s="6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49">
      <c r="A33" s="1" t="n"/>
      <c r="B33" s="5" t="n"/>
      <c r="C33" s="5" t="n"/>
      <c r="D33" s="1" t="n"/>
      <c r="E33" s="1" t="n"/>
      <c r="F33" s="1" t="n"/>
      <c r="G33" s="1" t="n"/>
      <c r="H33" s="1" t="n"/>
      <c r="I33" s="1" t="n"/>
      <c r="J33" s="1" t="n"/>
      <c r="K33" s="6" t="n"/>
      <c r="L33" s="6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49">
      <c r="A34" s="1" t="n"/>
      <c r="B34" s="5" t="n"/>
      <c r="C34" s="5" t="n"/>
      <c r="D34" s="1" t="n"/>
      <c r="E34" s="1" t="n"/>
      <c r="F34" s="1" t="n"/>
      <c r="G34" s="1" t="n"/>
      <c r="H34" s="1" t="n"/>
      <c r="I34" s="1" t="n"/>
      <c r="J34" s="1" t="n"/>
      <c r="K34" s="6" t="n"/>
      <c r="L34" s="6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6.5" customHeight="1" s="49">
      <c r="A35" s="1" t="n"/>
      <c r="B35" s="5" t="n"/>
      <c r="C35" s="5" t="n"/>
      <c r="D35" s="1" t="n"/>
      <c r="E35" s="87" t="inlineStr">
        <is>
          <t>Integrantes:
Jose Villegas
Juan Marchant
Franz Figueroa</t>
        </is>
      </c>
      <c r="J35" s="1" t="n"/>
      <c r="K35" s="6" t="n"/>
      <c r="L35" s="6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6.5" customHeight="1" s="49">
      <c r="A36" s="1" t="n"/>
      <c r="B36" s="5" t="n"/>
      <c r="C36" s="5" t="n"/>
      <c r="D36" s="1" t="n"/>
      <c r="J36" s="1" t="n"/>
      <c r="K36" s="6" t="n"/>
      <c r="L36" s="6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6.5" customHeight="1" s="49">
      <c r="A37" s="1" t="n"/>
      <c r="B37" s="5" t="n"/>
      <c r="C37" s="5" t="n"/>
      <c r="D37" s="1" t="n"/>
      <c r="J37" s="1" t="n"/>
      <c r="K37" s="6" t="n"/>
      <c r="L37" s="6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6.5" customHeight="1" s="49">
      <c r="A38" s="1" t="n"/>
      <c r="B38" s="5" t="n"/>
      <c r="C38" s="5" t="n"/>
      <c r="D38" s="1" t="n"/>
      <c r="J38" s="1" t="n"/>
      <c r="K38" s="6" t="n"/>
      <c r="L38" s="6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6.5" customHeight="1" s="49">
      <c r="A39" s="1" t="n"/>
      <c r="B39" s="5" t="n"/>
      <c r="C39" s="5" t="n"/>
      <c r="D39" s="1" t="n"/>
      <c r="J39" s="1" t="n"/>
      <c r="K39" s="6" t="n"/>
      <c r="L39" s="6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6.5" customHeight="1" s="49">
      <c r="A40" s="1" t="n"/>
      <c r="B40" s="5" t="n"/>
      <c r="C40" s="5" t="n"/>
      <c r="D40" s="1" t="n"/>
      <c r="E40" s="1" t="n"/>
      <c r="F40" s="1" t="n"/>
      <c r="G40" s="1" t="n"/>
      <c r="H40" s="1" t="n"/>
      <c r="I40" s="1" t="n"/>
      <c r="J40" s="1" t="n"/>
      <c r="K40" s="6" t="n"/>
      <c r="L40" s="6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49">
      <c r="A41" s="1" t="n"/>
      <c r="B41" s="5" t="n"/>
      <c r="C41" s="5" t="n"/>
      <c r="D41" s="1" t="n"/>
      <c r="E41" s="1" t="n"/>
      <c r="F41" s="1" t="n"/>
      <c r="G41" s="1" t="n"/>
      <c r="H41" s="1" t="n"/>
      <c r="I41" s="1" t="n"/>
      <c r="J41" s="1" t="n"/>
      <c r="K41" s="6" t="n"/>
      <c r="L41" s="6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49">
      <c r="A42" s="1" t="n"/>
      <c r="B42" s="5" t="n"/>
      <c r="C42" s="5" t="n"/>
      <c r="D42" s="1" t="n"/>
      <c r="E42" s="1" t="n"/>
      <c r="F42" s="1" t="n"/>
      <c r="G42" s="1" t="n"/>
      <c r="H42" s="1" t="n"/>
      <c r="I42" s="1" t="n"/>
      <c r="J42" s="1" t="n"/>
      <c r="K42" s="6" t="n"/>
      <c r="L42" s="6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49">
      <c r="A43" s="1" t="n"/>
      <c r="B43" s="5" t="n"/>
      <c r="C43" s="7" t="n"/>
      <c r="D43" s="8" t="n"/>
      <c r="E43" s="8" t="n"/>
      <c r="F43" s="8" t="n"/>
      <c r="G43" s="8" t="n"/>
      <c r="H43" s="8" t="n"/>
      <c r="I43" s="8" t="n"/>
      <c r="J43" s="8" t="n"/>
      <c r="K43" s="9" t="n"/>
      <c r="L43" s="6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49">
      <c r="A44" s="1" t="n"/>
      <c r="B44" s="7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9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4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4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4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4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4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4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4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4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4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4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4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4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4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4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4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4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2">
    <mergeCell ref="E35:I39"/>
    <mergeCell ref="E6:I1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1:AC991"/>
  <sheetViews>
    <sheetView tabSelected="1" workbookViewId="0">
      <pane ySplit="1" topLeftCell="A2" activePane="bottomLeft" state="frozen"/>
      <selection pane="bottomLeft" activeCell="H8" sqref="H8"/>
    </sheetView>
  </sheetViews>
  <sheetFormatPr baseColWidth="10" defaultColWidth="14.42578125" defaultRowHeight="15" customHeight="1"/>
  <cols>
    <col hidden="1" width="14.42578125" customWidth="1" style="49" min="1" max="4"/>
    <col hidden="1" width="5.5703125" customWidth="1" style="49" min="5" max="5"/>
    <col hidden="1" width="4" customWidth="1" style="49" min="6" max="6"/>
    <col width="9.85546875" bestFit="1" customWidth="1" style="49" min="7" max="7"/>
    <col width="35.42578125" customWidth="1" style="49" min="8" max="8"/>
    <col width="18" customWidth="1" style="49" min="9" max="9"/>
    <col width="27.85546875" customWidth="1" style="49" min="10" max="10"/>
    <col width="22.42578125" customWidth="1" style="49" min="11" max="11"/>
    <col width="31.42578125" customWidth="1" style="49" min="12" max="12"/>
    <col width="35" customWidth="1" style="49" min="13" max="13"/>
    <col width="15.5703125" customWidth="1" style="49" min="14" max="14"/>
    <col width="33.5703125" customWidth="1" style="49" min="15" max="15"/>
    <col width="19.140625" customWidth="1" style="49" min="16" max="16"/>
    <col width="19" customWidth="1" style="49" min="17" max="17"/>
    <col width="22.7109375" customWidth="1" style="49" min="18" max="18"/>
    <col width="20.5703125" customWidth="1" style="49" min="19" max="19"/>
  </cols>
  <sheetData>
    <row r="1" ht="14.25" customHeight="1" s="49">
      <c r="E1" s="11" t="inlineStr">
        <is>
          <t xml:space="preserve"> </t>
        </is>
      </c>
      <c r="F1" s="11" t="n"/>
      <c r="G1" s="11" t="inlineStr">
        <is>
          <t>ID</t>
        </is>
      </c>
      <c r="H1" s="11" t="inlineStr">
        <is>
          <t>Nombre de la prueba</t>
        </is>
      </c>
      <c r="I1" s="11" t="inlineStr">
        <is>
          <t>Tipo</t>
        </is>
      </c>
      <c r="J1" s="11" t="inlineStr">
        <is>
          <t>Resultado esperado</t>
        </is>
      </c>
      <c r="K1" s="12" t="inlineStr">
        <is>
          <t>Pre condicion</t>
        </is>
      </c>
      <c r="L1" s="11" t="inlineStr">
        <is>
          <t>Resultado obtenido</t>
        </is>
      </c>
      <c r="M1" s="11" t="inlineStr">
        <is>
          <t>Datos de prueba</t>
        </is>
      </c>
      <c r="N1" s="11" t="inlineStr">
        <is>
          <t>Modulo a probar</t>
        </is>
      </c>
      <c r="O1" s="12" t="inlineStr">
        <is>
          <t>Criterios de aceptacion</t>
        </is>
      </c>
      <c r="P1" s="12" t="inlineStr">
        <is>
          <t>Estrategia</t>
        </is>
      </c>
      <c r="Q1" s="11" t="inlineStr">
        <is>
          <t>Resultado</t>
        </is>
      </c>
      <c r="R1" s="12" t="inlineStr">
        <is>
          <t>Candidato a automatizar</t>
        </is>
      </c>
      <c r="S1" s="14" t="inlineStr">
        <is>
          <t>Responsable ejecución</t>
        </is>
      </c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</row>
    <row r="2" ht="45" customHeight="1" s="49">
      <c r="E2" s="27" t="inlineStr">
        <is>
          <t>MTC</t>
        </is>
      </c>
      <c r="F2" s="27" t="n">
        <v>10</v>
      </c>
      <c r="G2" s="27" t="inlineStr">
        <is>
          <t>MTC_0010</t>
        </is>
      </c>
      <c r="H2" s="25" t="inlineStr">
        <is>
          <t>Redireccion al login sin sesion activa</t>
        </is>
      </c>
      <c r="I2" s="25" t="inlineStr">
        <is>
          <t>Funcional</t>
        </is>
      </c>
      <c r="J2" s="25" t="inlineStr">
        <is>
          <t>El sistema redirige a /login cuando no hay sesion iniciada</t>
        </is>
      </c>
      <c r="K2" s="25" t="inlineStr">
        <is>
          <t>No tener sesion iniciada en el navegador</t>
        </is>
      </c>
      <c r="L2" s="25" t="n"/>
      <c r="M2" s="25" t="inlineStr">
        <is>
          <t>URL solicitada: /dashboard, sin cookie de sesion</t>
        </is>
      </c>
      <c r="N2" s="25" t="inlineStr">
        <is>
          <t>Acceso</t>
        </is>
      </c>
      <c r="O2" s="25" t="inlineStr">
        <is>
          <t>Todo intento de entrar a /dashboard sin sesion debe terminar en /login</t>
        </is>
      </c>
      <c r="P2" s="25" t="inlineStr">
        <is>
          <t>Caja Negra</t>
        </is>
      </c>
      <c r="Q2" s="25" t="inlineStr">
        <is>
          <t>No ejecutado</t>
        </is>
      </c>
      <c r="R2" s="25" t="inlineStr">
        <is>
          <t>SI</t>
        </is>
      </c>
      <c r="S2" s="25" t="inlineStr">
        <is>
          <t>Alumno 1</t>
        </is>
      </c>
      <c r="T2" s="13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</row>
    <row r="3" ht="45" customHeight="1" s="49">
      <c r="E3" s="27" t="inlineStr">
        <is>
          <t>MTC</t>
        </is>
      </c>
      <c r="F3" s="27" t="n">
        <v>20</v>
      </c>
      <c r="G3" s="27" t="inlineStr">
        <is>
          <t>MTC_0020</t>
        </is>
      </c>
      <c r="H3" s="25" t="inlineStr">
        <is>
          <t>Bloqueo de acceso a usuario sin rol admin</t>
        </is>
      </c>
      <c r="I3" s="25" t="inlineStr">
        <is>
          <t>Funcional</t>
        </is>
      </c>
      <c r="J3" s="25" t="inlineStr">
        <is>
          <t>El panel no permite ingresar a un usuario autenticado sin rol admin</t>
        </is>
      </c>
      <c r="K3" s="25" t="inlineStr">
        <is>
          <t>Usuario con sesion iniciada y rol distinto de admin</t>
        </is>
      </c>
      <c r="L3" s="25" t="n"/>
      <c r="M3" s="25" t="inlineStr">
        <is>
          <t>Cuenta de prueba con rol conductor o sin rol asignado</t>
        </is>
      </c>
      <c r="N3" s="25" t="inlineStr">
        <is>
          <t>Acceso</t>
        </is>
      </c>
      <c r="O3" s="25" t="inlineStr">
        <is>
          <t>Solo perfiles con rol admin acceden al dashboard</t>
        </is>
      </c>
      <c r="P3" s="25" t="inlineStr">
        <is>
          <t>Caja Negra</t>
        </is>
      </c>
      <c r="Q3" s="25" t="inlineStr">
        <is>
          <t>No ejecutado</t>
        </is>
      </c>
      <c r="R3" s="25" t="inlineStr">
        <is>
          <t>SI</t>
        </is>
      </c>
      <c r="S3" s="25" t="inlineStr">
        <is>
          <t>Alumno 1</t>
        </is>
      </c>
      <c r="T3" s="13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</row>
    <row r="4">
      <c r="E4" s="27" t="inlineStr">
        <is>
          <t>MTC</t>
        </is>
      </c>
      <c r="F4" s="27" t="n">
        <v>30</v>
      </c>
      <c r="G4" s="27" t="inlineStr">
        <is>
          <t>MTC_0030</t>
        </is>
      </c>
      <c r="H4" s="25" t="inlineStr">
        <is>
          <t>Carga de KPIs del dia en el dashboard</t>
        </is>
      </c>
      <c r="I4" s="25" t="inlineStr">
        <is>
          <t>Funcional</t>
        </is>
      </c>
      <c r="J4" s="25" t="inlineStr">
        <is>
          <t>Los KPIs (flota activa, cumplimiento, alertas criticas, combustible) muestran datos reales de la empresa</t>
        </is>
      </c>
      <c r="K4" s="25" t="inlineStr">
        <is>
          <t>Sesion admin iniciada; existir datos del dia en la empresa</t>
        </is>
      </c>
      <c r="L4" s="25" t="n"/>
      <c r="M4" s="25" t="inlineStr">
        <is>
          <t>Empresa de prueba con 2 vehiculos y 1 servicio del dia</t>
        </is>
      </c>
      <c r="N4" s="25" t="inlineStr">
        <is>
          <t>Dashboard</t>
        </is>
      </c>
      <c r="O4" s="25" t="inlineStr">
        <is>
          <t>Los 4 KPIs reflejan la informacion real de la base de datos</t>
        </is>
      </c>
      <c r="P4" s="25" t="inlineStr">
        <is>
          <t>Caja Negra</t>
        </is>
      </c>
      <c r="Q4" s="25" t="inlineStr">
        <is>
          <t>No ejecutado</t>
        </is>
      </c>
      <c r="R4" s="25" t="inlineStr">
        <is>
          <t>NO</t>
        </is>
      </c>
      <c r="S4" s="25" t="n"/>
      <c r="T4" s="13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</row>
    <row r="5">
      <c r="E5" s="27" t="inlineStr">
        <is>
          <t>MTC</t>
        </is>
      </c>
      <c r="F5" s="27" t="n">
        <v>40</v>
      </c>
      <c r="G5" s="27" t="inlineStr">
        <is>
          <t>MTC_0040</t>
        </is>
      </c>
      <c r="H5" s="25" t="inlineStr">
        <is>
          <t>Visualizacion de alertas operacionales criticas</t>
        </is>
      </c>
      <c r="I5" s="25" t="inlineStr">
        <is>
          <t>Funcional</t>
        </is>
      </c>
      <c r="J5" s="25" t="inlineStr">
        <is>
          <t>Las alertas de licencia por vencer, mantencion critica, servicio atrasado e incidencia critica se listan en el dashboard</t>
        </is>
      </c>
      <c r="K5" s="25" t="inlineStr">
        <is>
          <t>Existir al menos un registro que dispare cada tipo de alerta</t>
        </is>
      </c>
      <c r="L5" s="25" t="n"/>
      <c r="M5" s="25" t="inlineStr">
        <is>
          <t>Conductor con licencia venciendo en 20 dias; vehiculo con mantencion vencida</t>
        </is>
      </c>
      <c r="N5" s="25" t="inlineStr">
        <is>
          <t>Dashboard</t>
        </is>
      </c>
      <c r="O5" s="25" t="inlineStr">
        <is>
          <t>Cada alerta generada aparece listada y es posible abrirla</t>
        </is>
      </c>
      <c r="P5" s="25" t="inlineStr">
        <is>
          <t>Caja Negra</t>
        </is>
      </c>
      <c r="Q5" s="25" t="inlineStr">
        <is>
          <t>No ejecutado</t>
        </is>
      </c>
      <c r="R5" s="25" t="inlineStr">
        <is>
          <t>NO</t>
        </is>
      </c>
      <c r="S5" s="25" t="n"/>
      <c r="T5" s="13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</row>
    <row r="6">
      <c r="E6" s="27" t="inlineStr">
        <is>
          <t>MTC</t>
        </is>
      </c>
      <c r="F6" s="27" t="n">
        <v>50</v>
      </c>
      <c r="G6" s="27" t="inlineStr">
        <is>
          <t>MTC_0050</t>
        </is>
      </c>
      <c r="H6" s="25" t="inlineStr">
        <is>
          <t>Carga del mapa de Google en el dashboard</t>
        </is>
      </c>
      <c r="I6" s="25" t="inlineStr">
        <is>
          <t>Funcional</t>
        </is>
      </c>
      <c r="J6" s="25" t="inlineStr">
        <is>
          <t>El mapa de Google Maps carga y muestra el contexto operacional</t>
        </is>
      </c>
      <c r="K6" s="25" t="inlineStr">
        <is>
          <t>Clave de Google Maps configurada y valida</t>
        </is>
      </c>
      <c r="L6" s="25" t="n"/>
      <c r="M6" s="25" t="inlineStr">
        <is>
          <t>N/A</t>
        </is>
      </c>
      <c r="N6" s="25" t="inlineStr">
        <is>
          <t>Dashboard</t>
        </is>
      </c>
      <c r="O6" s="25" t="inlineStr">
        <is>
          <t>El mapa se renderiza sin errores en pantalla</t>
        </is>
      </c>
      <c r="P6" s="25" t="inlineStr">
        <is>
          <t>Caja Negra</t>
        </is>
      </c>
      <c r="Q6" s="25" t="inlineStr">
        <is>
          <t>No ejecutado</t>
        </is>
      </c>
      <c r="R6" s="25" t="inlineStr">
        <is>
          <t>NO</t>
        </is>
      </c>
      <c r="S6" s="25" t="n"/>
      <c r="T6" s="13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</row>
    <row r="7">
      <c r="E7" s="27" t="inlineStr">
        <is>
          <t>MTC</t>
        </is>
      </c>
      <c r="F7" s="27" t="n">
        <v>60</v>
      </c>
      <c r="G7" s="27" t="inlineStr">
        <is>
          <t>MTC_0060</t>
        </is>
      </c>
      <c r="H7" s="25" t="inlineStr">
        <is>
          <t>Registro de un vehiculo nuevo</t>
        </is>
      </c>
      <c r="I7" s="25" t="inlineStr">
        <is>
          <t>Funcional</t>
        </is>
      </c>
      <c r="J7" s="25" t="inlineStr">
        <is>
          <t>El vehiculo queda guardado y visible en el listado de Flota</t>
        </is>
      </c>
      <c r="K7" s="25" t="inlineStr">
        <is>
          <t>Sesion admin iniciada</t>
        </is>
      </c>
      <c r="L7" s="25" t="n"/>
      <c r="M7" s="25" t="inlineStr">
        <is>
          <t>Patente: TEST-01, tipo: bus, capacidad: 20</t>
        </is>
      </c>
      <c r="N7" s="25" t="inlineStr">
        <is>
          <t>Flota</t>
        </is>
      </c>
      <c r="O7" s="25" t="inlineStr">
        <is>
          <t>El vehiculo nuevo aparece en la ficha y el listado tras guardar</t>
        </is>
      </c>
      <c r="P7" s="25" t="inlineStr">
        <is>
          <t>Caja Negra</t>
        </is>
      </c>
      <c r="Q7" s="25" t="inlineStr">
        <is>
          <t>No ejecutado</t>
        </is>
      </c>
      <c r="R7" s="25" t="inlineStr">
        <is>
          <t>SI</t>
        </is>
      </c>
      <c r="S7" s="25" t="n"/>
      <c r="T7" s="13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</row>
    <row r="8">
      <c r="E8" s="27" t="inlineStr">
        <is>
          <t>MTC</t>
        </is>
      </c>
      <c r="F8" s="27" t="n">
        <v>70</v>
      </c>
      <c r="G8" s="27" t="inlineStr">
        <is>
          <t>MTC_0070</t>
        </is>
      </c>
      <c r="H8" s="85" t="inlineStr">
        <is>
          <t>Registro de carga de combustible y su historial</t>
        </is>
      </c>
      <c r="I8" s="25" t="inlineStr">
        <is>
          <t>Funcional</t>
        </is>
      </c>
      <c r="J8" s="25" t="inlineStr">
        <is>
          <t>La carga queda registrada y aparece en el historial del vehiculo</t>
        </is>
      </c>
      <c r="K8" s="25" t="inlineStr">
        <is>
          <t>Existir al menos un vehiculo registrado</t>
        </is>
      </c>
      <c r="L8" s="25" t="n"/>
      <c r="M8" s="25" t="inlineStr">
        <is>
          <t>Litros: 40, monto: $40.000</t>
        </is>
      </c>
      <c r="N8" s="25" t="inlineStr">
        <is>
          <t>Flota</t>
        </is>
      </c>
      <c r="O8" s="25" t="inlineStr">
        <is>
          <t>La carga aparece en el historial y suma en el KPI de combustible del dia</t>
        </is>
      </c>
      <c r="P8" s="25" t="inlineStr">
        <is>
          <t>Caja Negra</t>
        </is>
      </c>
      <c r="Q8" s="25" t="inlineStr">
        <is>
          <t>No ejecutado</t>
        </is>
      </c>
      <c r="R8" s="25" t="inlineStr">
        <is>
          <t>SI</t>
        </is>
      </c>
      <c r="S8" s="25" t="n"/>
      <c r="T8" s="13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</row>
    <row r="9">
      <c r="E9" s="27" t="inlineStr">
        <is>
          <t>MTC</t>
        </is>
      </c>
      <c r="F9" s="27" t="n">
        <v>80</v>
      </c>
      <c r="G9" s="27" t="inlineStr">
        <is>
          <t>MTC_0080</t>
        </is>
      </c>
      <c r="H9" s="25" t="inlineStr">
        <is>
          <t>Registro de orden de mantencion</t>
        </is>
      </c>
      <c r="I9" s="25" t="inlineStr">
        <is>
          <t>Funcional</t>
        </is>
      </c>
      <c r="J9" s="25" t="inlineStr">
        <is>
          <t>La orden de mantencion queda asociada al vehiculo</t>
        </is>
      </c>
      <c r="K9" s="25" t="inlineStr">
        <is>
          <t>Existir un vehiculo registrado</t>
        </is>
      </c>
      <c r="L9" s="25" t="n"/>
      <c r="M9" s="25" t="inlineStr">
        <is>
          <t>Tipo: cambio de aceite, fecha: hoy</t>
        </is>
      </c>
      <c r="N9" s="25" t="inlineStr">
        <is>
          <t>Flota</t>
        </is>
      </c>
      <c r="O9" s="25" t="inlineStr">
        <is>
          <t>La orden aparece en el historial del vehiculo</t>
        </is>
      </c>
      <c r="P9" s="25" t="inlineStr">
        <is>
          <t>Caja Negra</t>
        </is>
      </c>
      <c r="Q9" s="25" t="inlineStr">
        <is>
          <t>No ejecutado</t>
        </is>
      </c>
      <c r="R9" s="25" t="inlineStr">
        <is>
          <t>NO</t>
        </is>
      </c>
      <c r="S9" s="25" t="n"/>
      <c r="T9" s="13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</row>
    <row r="10">
      <c r="E10" s="27" t="inlineStr">
        <is>
          <t>MTC</t>
        </is>
      </c>
      <c r="F10" s="27" t="n">
        <v>90</v>
      </c>
      <c r="G10" s="27" t="inlineStr">
        <is>
          <t>MTC_0090</t>
        </is>
      </c>
      <c r="H10" s="25" t="inlineStr">
        <is>
          <t>Registro de conductor nuevo</t>
        </is>
      </c>
      <c r="I10" s="25" t="inlineStr">
        <is>
          <t>Funcional</t>
        </is>
      </c>
      <c r="J10" s="25" t="inlineStr">
        <is>
          <t>El conductor queda guardado y visible en el listado</t>
        </is>
      </c>
      <c r="K10" s="25" t="inlineStr">
        <is>
          <t>Sesion admin iniciada</t>
        </is>
      </c>
      <c r="L10" s="25" t="n"/>
      <c r="M10" s="25" t="inlineStr">
        <is>
          <t>Nombre: Juan Perez, licencia clase A2, vencimiento a futuro</t>
        </is>
      </c>
      <c r="N10" s="25" t="inlineStr">
        <is>
          <t>Conductores</t>
        </is>
      </c>
      <c r="O10" s="25" t="inlineStr">
        <is>
          <t>El conductor nuevo aparece en la ficha y el listado tras guardar</t>
        </is>
      </c>
      <c r="P10" s="25" t="inlineStr">
        <is>
          <t>Caja Negra</t>
        </is>
      </c>
      <c r="Q10" s="25" t="inlineStr">
        <is>
          <t>No ejecutado</t>
        </is>
      </c>
      <c r="R10" s="25" t="inlineStr">
        <is>
          <t>SI</t>
        </is>
      </c>
      <c r="S10" s="25" t="n"/>
      <c r="T10" s="13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</row>
    <row r="11">
      <c r="E11" s="27" t="inlineStr">
        <is>
          <t>MTC</t>
        </is>
      </c>
      <c r="F11" s="27" t="n">
        <v>100</v>
      </c>
      <c r="G11" s="27" t="inlineStr">
        <is>
          <t>MTC_0100</t>
        </is>
      </c>
      <c r="H11" s="25" t="inlineStr">
        <is>
          <t>Alerta de licencia por vencer en 30 dias</t>
        </is>
      </c>
      <c r="I11" s="25" t="inlineStr">
        <is>
          <t>Funcional</t>
        </is>
      </c>
      <c r="J11" s="25" t="inlineStr">
        <is>
          <t>El sistema muestra alerta cuando faltan 30 dias o menos para el vencimiento</t>
        </is>
      </c>
      <c r="K11" s="25" t="inlineStr">
        <is>
          <t>Conductor con licencia proxima a vencer</t>
        </is>
      </c>
      <c r="L11" s="25" t="n"/>
      <c r="M11" s="25" t="inlineStr">
        <is>
          <t>Fecha de vencimiento: hoy + 25 dias</t>
        </is>
      </c>
      <c r="N11" s="25" t="inlineStr">
        <is>
          <t>Conductores</t>
        </is>
      </c>
      <c r="O11" s="25" t="inlineStr">
        <is>
          <t>La alerta se genera dentro de la ventana de 30 dias, no antes</t>
        </is>
      </c>
      <c r="P11" s="25" t="inlineStr">
        <is>
          <t>Caja Negra</t>
        </is>
      </c>
      <c r="Q11" s="25" t="inlineStr">
        <is>
          <t>No ejecutado</t>
        </is>
      </c>
      <c r="R11" s="25" t="inlineStr">
        <is>
          <t>SI</t>
        </is>
      </c>
      <c r="S11" s="25" t="n"/>
      <c r="T11" s="13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</row>
    <row r="12">
      <c r="E12" s="27" t="inlineStr">
        <is>
          <t>MTC</t>
        </is>
      </c>
      <c r="F12" s="27" t="n">
        <v>110</v>
      </c>
      <c r="G12" s="27" t="inlineStr">
        <is>
          <t>MTC_0110</t>
        </is>
      </c>
      <c r="H12" s="25" t="inlineStr">
        <is>
          <t>Creacion de contrato con pasajeros asociados</t>
        </is>
      </c>
      <c r="I12" s="25" t="inlineStr">
        <is>
          <t>Funcional</t>
        </is>
      </c>
      <c r="J12" s="25" t="inlineStr">
        <is>
          <t>El contrato guarda su lista de pasajeros asociados</t>
        </is>
      </c>
      <c r="K12" s="25" t="inlineStr">
        <is>
          <t>Existir al menos un pasajero registrado</t>
        </is>
      </c>
      <c r="L12" s="25" t="n"/>
      <c r="M12" s="25" t="inlineStr">
        <is>
          <t>Contrato de prueba con 5 pasajeros asociados</t>
        </is>
      </c>
      <c r="N12" s="25" t="inlineStr">
        <is>
          <t>Rutas y contratos</t>
        </is>
      </c>
      <c r="O12" s="25" t="inlineStr">
        <is>
          <t>Los pasajeros asociados quedan visibles al abrir el contrato</t>
        </is>
      </c>
      <c r="P12" s="25" t="inlineStr">
        <is>
          <t>Caja Negra</t>
        </is>
      </c>
      <c r="Q12" s="25" t="inlineStr">
        <is>
          <t>No ejecutado</t>
        </is>
      </c>
      <c r="R12" s="25" t="inlineStr">
        <is>
          <t>SI</t>
        </is>
      </c>
      <c r="S12" s="25" t="n"/>
      <c r="T12" s="13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</row>
    <row r="13">
      <c r="E13" s="27" t="inlineStr">
        <is>
          <t>MTC</t>
        </is>
      </c>
      <c r="F13" s="27" t="n">
        <v>120</v>
      </c>
      <c r="G13" s="27" t="inlineStr">
        <is>
          <t>MTC_0120</t>
        </is>
      </c>
      <c r="H13" s="25" t="inlineStr">
        <is>
          <t>Creacion de ruta con autocompletado de direccion</t>
        </is>
      </c>
      <c r="I13" s="25" t="inlineStr">
        <is>
          <t>Funcional</t>
        </is>
      </c>
      <c r="J13" s="25" t="inlineStr">
        <is>
          <t>La ruta guarda las paradas con direcciones validas del autocompletado</t>
        </is>
      </c>
      <c r="K13" s="25" t="inlineStr">
        <is>
          <t>Clave de Google Places configurada</t>
        </is>
      </c>
      <c r="L13" s="25" t="n"/>
      <c r="M13" s="25" t="inlineStr">
        <is>
          <t>Direccion: Av. Providencia 1234, Santiago</t>
        </is>
      </c>
      <c r="N13" s="25" t="inlineStr">
        <is>
          <t>Rutas y contratos</t>
        </is>
      </c>
      <c r="O13" s="25" t="inlineStr">
        <is>
          <t>La parada solo se guarda si la direccion proviene del autocompletado</t>
        </is>
      </c>
      <c r="P13" s="25" t="inlineStr">
        <is>
          <t>Caja Negra</t>
        </is>
      </c>
      <c r="Q13" s="25" t="inlineStr">
        <is>
          <t>No ejecutado</t>
        </is>
      </c>
      <c r="R13" s="25" t="inlineStr">
        <is>
          <t>NO</t>
        </is>
      </c>
      <c r="S13" s="25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</row>
    <row r="14">
      <c r="E14" s="27" t="inlineStr">
        <is>
          <t>MTC</t>
        </is>
      </c>
      <c r="F14" s="27" t="n">
        <v>130</v>
      </c>
      <c r="G14" s="27" t="inlineStr">
        <is>
          <t>MTC_0130</t>
        </is>
      </c>
      <c r="H14" s="25" t="inlineStr">
        <is>
          <t>Inicio de un servicio agendado</t>
        </is>
      </c>
      <c r="I14" s="25" t="inlineStr">
        <is>
          <t>Funcional</t>
        </is>
      </c>
      <c r="J14" s="25" t="inlineStr">
        <is>
          <t>El servicio cambia de agendado a en curso y queda registrado en la bitacora</t>
        </is>
      </c>
      <c r="K14" s="25" t="inlineStr">
        <is>
          <t>Existir un servicio agendado para hoy</t>
        </is>
      </c>
      <c r="L14" s="25" t="n"/>
      <c r="M14" s="25" t="inlineStr">
        <is>
          <t>Servicio de prueba con conductor y vehiculo asignados</t>
        </is>
      </c>
      <c r="N14" s="25" t="inlineStr">
        <is>
          <t>Ciclo del servicio</t>
        </is>
      </c>
      <c r="O14" s="25" t="inlineStr">
        <is>
          <t>El cambio de estado queda en la bitacora de eventos con fecha y hora</t>
        </is>
      </c>
      <c r="P14" s="25" t="inlineStr">
        <is>
          <t>Caja Negra</t>
        </is>
      </c>
      <c r="Q14" s="25" t="inlineStr">
        <is>
          <t>No ejecutado</t>
        </is>
      </c>
      <c r="R14" s="25" t="inlineStr">
        <is>
          <t>SI</t>
        </is>
      </c>
      <c r="S14" s="25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</row>
    <row r="15">
      <c r="E15" s="27" t="inlineStr">
        <is>
          <t>MTC</t>
        </is>
      </c>
      <c r="F15" s="27" t="n">
        <v>140</v>
      </c>
      <c r="G15" s="27" t="inlineStr">
        <is>
          <t>MTC_0140</t>
        </is>
      </c>
      <c r="H15" s="25" t="inlineStr">
        <is>
          <t>Finalizacion de un servicio en curso</t>
        </is>
      </c>
      <c r="I15" s="25" t="inlineStr">
        <is>
          <t>Funcional</t>
        </is>
      </c>
      <c r="J15" s="25" t="inlineStr">
        <is>
          <t>El servicio cambia a completado y queda en la bitacora</t>
        </is>
      </c>
      <c r="K15" s="25" t="inlineStr">
        <is>
          <t>Existir un servicio en curso</t>
        </is>
      </c>
      <c r="L15" s="25" t="n"/>
      <c r="M15" s="25" t="inlineStr">
        <is>
          <t>Servicio en curso de prueba</t>
        </is>
      </c>
      <c r="N15" s="25" t="inlineStr">
        <is>
          <t>Ciclo del servicio</t>
        </is>
      </c>
      <c r="O15" s="25" t="inlineStr">
        <is>
          <t>El estado final y la hora quedan registrados correctamente</t>
        </is>
      </c>
      <c r="P15" s="25" t="inlineStr">
        <is>
          <t>Caja Negra</t>
        </is>
      </c>
      <c r="Q15" s="25" t="inlineStr">
        <is>
          <t>No ejecutado</t>
        </is>
      </c>
      <c r="R15" s="25" t="inlineStr">
        <is>
          <t>SI</t>
        </is>
      </c>
      <c r="S15" s="25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</row>
    <row r="16">
      <c r="E16" s="27" t="inlineStr">
        <is>
          <t>MTC</t>
        </is>
      </c>
      <c r="F16" s="27" t="n">
        <v>150</v>
      </c>
      <c r="G16" s="27" t="inlineStr">
        <is>
          <t>MTC_0150</t>
        </is>
      </c>
      <c r="H16" s="25" t="inlineStr">
        <is>
          <t>Cancelacion de un servicio</t>
        </is>
      </c>
      <c r="I16" s="25" t="inlineStr">
        <is>
          <t>Funcional</t>
        </is>
      </c>
      <c r="J16" s="25" t="inlineStr">
        <is>
          <t>El servicio cambia a cancelado y queda registrado el motivo</t>
        </is>
      </c>
      <c r="K16" s="25" t="inlineStr">
        <is>
          <t>Existir un servicio agendado o en curso</t>
        </is>
      </c>
      <c r="L16" s="25" t="n"/>
      <c r="M16" s="25" t="inlineStr">
        <is>
          <t>Motivo: vehiculo con falla mecanica</t>
        </is>
      </c>
      <c r="N16" s="25" t="inlineStr">
        <is>
          <t>Ciclo del servicio</t>
        </is>
      </c>
      <c r="O16" s="25" t="inlineStr">
        <is>
          <t>El servicio cancelado no aparece como pendiente de ejecucion</t>
        </is>
      </c>
      <c r="P16" s="25" t="inlineStr">
        <is>
          <t>Caja Negra</t>
        </is>
      </c>
      <c r="Q16" s="25" t="inlineStr">
        <is>
          <t>No ejecutado</t>
        </is>
      </c>
      <c r="R16" s="25" t="inlineStr">
        <is>
          <t>SI</t>
        </is>
      </c>
      <c r="S16" s="25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</row>
    <row r="17">
      <c r="E17" s="27" t="inlineStr">
        <is>
          <t>MTC</t>
        </is>
      </c>
      <c r="F17" s="27" t="n">
        <v>160</v>
      </c>
      <c r="G17" s="27" t="inlineStr">
        <is>
          <t>MTC_0160</t>
        </is>
      </c>
      <c r="H17" s="25" t="inlineStr">
        <is>
          <t>Reporte de incidente durante un servicio</t>
        </is>
      </c>
      <c r="I17" s="25" t="inlineStr">
        <is>
          <t>Funcional</t>
        </is>
      </c>
      <c r="J17" s="25" t="inlineStr">
        <is>
          <t>El incidente queda registrado con su tipo asociado al servicio</t>
        </is>
      </c>
      <c r="K17" s="25" t="inlineStr">
        <is>
          <t>Existir un servicio en curso y tipos de incidente configurados</t>
        </is>
      </c>
      <c r="L17" s="25" t="n"/>
      <c r="M17" s="25" t="inlineStr">
        <is>
          <t>Tipo: atraso por trafico</t>
        </is>
      </c>
      <c r="N17" s="25" t="inlineStr">
        <is>
          <t>Ciclo del servicio</t>
        </is>
      </c>
      <c r="O17" s="25" t="inlineStr">
        <is>
          <t>El incidente aparece en el historial del servicio</t>
        </is>
      </c>
      <c r="P17" s="25" t="inlineStr">
        <is>
          <t>Caja Negra</t>
        </is>
      </c>
      <c r="Q17" s="25" t="inlineStr">
        <is>
          <t>No ejecutado</t>
        </is>
      </c>
      <c r="R17" s="25" t="inlineStr">
        <is>
          <t>NO</t>
        </is>
      </c>
      <c r="S17" s="25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</row>
    <row r="18">
      <c r="E18" s="27" t="inlineStr">
        <is>
          <t>MTC</t>
        </is>
      </c>
      <c r="F18" s="27" t="n">
        <v>170</v>
      </c>
      <c r="G18" s="27" t="inlineStr">
        <is>
          <t>MTC_0170</t>
        </is>
      </c>
      <c r="H18" s="25" t="inlineStr">
        <is>
          <t>Edicion de datos de la empresa</t>
        </is>
      </c>
      <c r="I18" s="25" t="inlineStr">
        <is>
          <t>Funcional</t>
        </is>
      </c>
      <c r="J18" s="25" t="inlineStr">
        <is>
          <t>Los cambios en los datos de la empresa quedan guardados</t>
        </is>
      </c>
      <c r="K18" s="25" t="inlineStr">
        <is>
          <t>Sesion admin iniciada</t>
        </is>
      </c>
      <c r="L18" s="25" t="n"/>
      <c r="M18" s="25" t="inlineStr">
        <is>
          <t>Nuevo telefono de contacto</t>
        </is>
      </c>
      <c r="N18" s="25" t="inlineStr">
        <is>
          <t>Configuracion</t>
        </is>
      </c>
      <c r="O18" s="25" t="inlineStr">
        <is>
          <t>El dato editado se refleja al recargar la pagina</t>
        </is>
      </c>
      <c r="P18" s="25" t="inlineStr">
        <is>
          <t>Caja Negra</t>
        </is>
      </c>
      <c r="Q18" s="25" t="inlineStr">
        <is>
          <t>No ejecutado</t>
        </is>
      </c>
      <c r="R18" s="25" t="inlineStr">
        <is>
          <t>NO</t>
        </is>
      </c>
      <c r="S18" s="25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</row>
    <row r="19">
      <c r="E19" s="27" t="inlineStr">
        <is>
          <t>MTC</t>
        </is>
      </c>
      <c r="F19" s="27" t="n">
        <v>180</v>
      </c>
      <c r="G19" s="27" t="inlineStr">
        <is>
          <t>MTC_0180</t>
        </is>
      </c>
      <c r="H19" s="25" t="inlineStr">
        <is>
          <t>Aislamiento de datos entre empresas distintas</t>
        </is>
      </c>
      <c r="I19" s="25" t="inlineStr">
        <is>
          <t>No Funcional</t>
        </is>
      </c>
      <c r="J19" s="25" t="inlineStr">
        <is>
          <t>Un administrador de la empresa A no puede ver datos de la empresa B</t>
        </is>
      </c>
      <c r="K19" s="25" t="inlineStr">
        <is>
          <t>Existir dos empresas distintas con datos propios</t>
        </is>
      </c>
      <c r="L19" s="25" t="n"/>
      <c r="M19" s="25" t="inlineStr">
        <is>
          <t>Cuenta admin de empresa A y de empresa B</t>
        </is>
      </c>
      <c r="N19" s="25" t="inlineStr">
        <is>
          <t>Datos y seguridad</t>
        </is>
      </c>
      <c r="O19" s="25" t="inlineStr">
        <is>
          <t>Ningun listado (vehiculos, conductores, servicios) muestra datos de otra empresa</t>
        </is>
      </c>
      <c r="P19" s="25" t="inlineStr">
        <is>
          <t>Caja Negra</t>
        </is>
      </c>
      <c r="Q19" s="25" t="inlineStr">
        <is>
          <t>No ejecutado</t>
        </is>
      </c>
      <c r="R19" s="25" t="inlineStr">
        <is>
          <t>SI</t>
        </is>
      </c>
      <c r="S19" s="25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</row>
    <row r="20">
      <c r="E20" s="27" t="n"/>
      <c r="F20" s="27" t="n"/>
      <c r="G20" s="27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</row>
    <row r="21">
      <c r="E21" s="27" t="n"/>
      <c r="F21" s="27" t="n"/>
      <c r="G21" s="27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</row>
    <row r="22">
      <c r="E22" s="27" t="n"/>
      <c r="F22" s="27" t="n"/>
      <c r="G22" s="27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</row>
    <row r="23">
      <c r="E23" s="27" t="n"/>
      <c r="F23" s="27" t="n"/>
      <c r="G23" s="27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</row>
    <row r="24">
      <c r="E24" s="27" t="n"/>
      <c r="F24" s="27" t="n"/>
      <c r="G24" s="27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</row>
    <row r="25">
      <c r="E25" s="27" t="n"/>
      <c r="F25" s="27" t="n"/>
      <c r="G25" s="27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</row>
    <row r="26">
      <c r="E26" s="27" t="n"/>
      <c r="F26" s="27" t="n"/>
      <c r="G26" s="27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</row>
    <row r="27">
      <c r="E27" s="27" t="n"/>
      <c r="F27" s="27" t="n"/>
      <c r="G27" s="27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</row>
    <row r="28">
      <c r="E28" s="27" t="n"/>
      <c r="F28" s="27" t="n"/>
      <c r="G28" s="27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</row>
    <row r="29">
      <c r="E29" s="27" t="n"/>
      <c r="F29" s="27" t="n"/>
      <c r="G29" s="27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</row>
    <row r="30">
      <c r="E30" s="27" t="n"/>
      <c r="F30" s="27" t="n"/>
      <c r="G30" s="27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</row>
    <row r="31">
      <c r="E31" s="27" t="n"/>
      <c r="F31" s="27" t="n"/>
      <c r="G31" s="27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</row>
    <row r="32">
      <c r="E32" s="27" t="n"/>
      <c r="F32" s="27" t="n"/>
      <c r="G32" s="27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</row>
    <row r="33">
      <c r="E33" s="27" t="n"/>
      <c r="F33" s="27" t="n"/>
      <c r="G33" s="27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</row>
    <row r="34">
      <c r="E34" s="27" t="n"/>
      <c r="F34" s="27" t="n"/>
      <c r="G34" s="27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</row>
    <row r="35">
      <c r="E35" s="27" t="n"/>
      <c r="F35" s="27" t="n"/>
      <c r="G35" s="27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</row>
    <row r="36">
      <c r="E36" s="27" t="n"/>
      <c r="F36" s="27" t="n"/>
      <c r="G36" s="27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</row>
    <row r="37">
      <c r="E37" s="27" t="n"/>
      <c r="F37" s="27" t="n"/>
      <c r="G37" s="27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</row>
    <row r="38">
      <c r="E38" s="27" t="n"/>
      <c r="F38" s="27" t="n"/>
      <c r="G38" s="27" t="n"/>
      <c r="H38" s="25" t="n"/>
      <c r="I38" s="25" t="n"/>
      <c r="J38" s="25" t="n"/>
      <c r="K38" s="25" t="n"/>
      <c r="L38" s="26" t="n"/>
      <c r="M38" s="25" t="n"/>
      <c r="N38" s="25" t="n"/>
      <c r="O38" s="25" t="n"/>
      <c r="P38" s="25" t="n"/>
      <c r="Q38" s="25" t="n"/>
      <c r="R38" s="25" t="n"/>
      <c r="S38" s="25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</row>
    <row r="39">
      <c r="E39" s="27" t="n"/>
      <c r="F39" s="27" t="n"/>
      <c r="G39" s="27" t="n"/>
      <c r="H39" s="25" t="n"/>
      <c r="I39" s="25" t="n"/>
      <c r="J39" s="25" t="n"/>
      <c r="K39" s="25" t="n"/>
      <c r="L39" s="26" t="n"/>
      <c r="M39" s="25" t="n"/>
      <c r="N39" s="25" t="n"/>
      <c r="O39" s="26" t="n"/>
      <c r="P39" s="25" t="n"/>
      <c r="Q39" s="25" t="n"/>
      <c r="R39" s="25" t="n"/>
      <c r="S39" s="25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</row>
    <row r="40">
      <c r="E40" s="27" t="n"/>
      <c r="F40" s="27" t="n"/>
      <c r="G40" s="27" t="n"/>
      <c r="H40" s="25" t="n"/>
      <c r="I40" s="25" t="n"/>
      <c r="J40" s="25" t="n"/>
      <c r="K40" s="25" t="n"/>
      <c r="L40" s="26" t="n"/>
      <c r="M40" s="25" t="n"/>
      <c r="N40" s="25" t="n"/>
      <c r="O40" s="26" t="n"/>
      <c r="P40" s="25" t="n"/>
      <c r="Q40" s="25" t="n"/>
      <c r="R40" s="25" t="n"/>
      <c r="S40" s="25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</row>
    <row r="41">
      <c r="E41" s="27" t="n"/>
      <c r="F41" s="27" t="n"/>
      <c r="G41" s="27" t="n"/>
      <c r="H41" s="25" t="n"/>
      <c r="I41" s="25" t="n"/>
      <c r="J41" s="25" t="n"/>
      <c r="K41" s="25" t="n"/>
      <c r="L41" s="26" t="n"/>
      <c r="M41" s="25" t="n"/>
      <c r="N41" s="25" t="n"/>
      <c r="O41" s="26" t="n"/>
      <c r="P41" s="25" t="n"/>
      <c r="Q41" s="25" t="n"/>
      <c r="R41" s="25" t="n"/>
      <c r="S41" s="25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</row>
    <row r="42">
      <c r="E42" s="27" t="n"/>
      <c r="F42" s="27" t="n"/>
      <c r="G42" s="27" t="n"/>
      <c r="H42" s="25" t="n"/>
      <c r="I42" s="25" t="n"/>
      <c r="J42" s="25" t="n"/>
      <c r="K42" s="25" t="n"/>
      <c r="L42" s="26" t="n"/>
      <c r="M42" s="25" t="n"/>
      <c r="N42" s="25" t="n"/>
      <c r="O42" s="26" t="n"/>
      <c r="P42" s="25" t="n"/>
      <c r="Q42" s="25" t="n"/>
      <c r="R42" s="25" t="n"/>
      <c r="S42" s="25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</row>
    <row r="43">
      <c r="E43" s="27" t="n"/>
      <c r="F43" s="27" t="n"/>
      <c r="G43" s="27" t="n"/>
      <c r="H43" s="25" t="n"/>
      <c r="I43" s="25" t="n"/>
      <c r="J43" s="25" t="n"/>
      <c r="K43" s="25" t="n"/>
      <c r="L43" s="26" t="n"/>
      <c r="M43" s="25" t="n"/>
      <c r="N43" s="25" t="n"/>
      <c r="O43" s="26" t="n"/>
      <c r="P43" s="25" t="n"/>
      <c r="Q43" s="25" t="n"/>
      <c r="R43" s="25" t="n"/>
      <c r="S43" s="25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</row>
    <row r="44">
      <c r="E44" s="27" t="n"/>
      <c r="F44" s="27" t="n"/>
      <c r="G44" s="27" t="n"/>
      <c r="H44" s="25" t="n"/>
      <c r="I44" s="25" t="n"/>
      <c r="J44" s="25" t="n"/>
      <c r="K44" s="25" t="n"/>
      <c r="L44" s="26" t="n"/>
      <c r="M44" s="25" t="n"/>
      <c r="N44" s="25" t="n"/>
      <c r="O44" s="26" t="n"/>
      <c r="P44" s="25" t="n"/>
      <c r="Q44" s="25" t="n"/>
      <c r="R44" s="25" t="n"/>
      <c r="S44" s="25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</row>
    <row r="45">
      <c r="E45" s="27" t="n"/>
      <c r="F45" s="27" t="n"/>
      <c r="G45" s="27" t="n"/>
      <c r="H45" s="25" t="n"/>
      <c r="I45" s="25" t="n"/>
      <c r="J45" s="25" t="n"/>
      <c r="K45" s="25" t="n"/>
      <c r="L45" s="26" t="n"/>
      <c r="M45" s="25" t="n"/>
      <c r="N45" s="25" t="n"/>
      <c r="O45" s="26" t="n"/>
      <c r="P45" s="25" t="n"/>
      <c r="Q45" s="25" t="n"/>
      <c r="R45" s="25" t="n"/>
      <c r="S45" s="25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</row>
    <row r="46">
      <c r="E46" s="27" t="n"/>
      <c r="F46" s="27" t="n"/>
      <c r="G46" s="27" t="n"/>
      <c r="H46" s="25" t="n"/>
      <c r="I46" s="25" t="n"/>
      <c r="J46" s="25" t="n"/>
      <c r="K46" s="25" t="n"/>
      <c r="L46" s="26" t="n"/>
      <c r="M46" s="25" t="n"/>
      <c r="N46" s="25" t="n"/>
      <c r="O46" s="26" t="n"/>
      <c r="P46" s="25" t="n"/>
      <c r="Q46" s="25" t="n"/>
      <c r="R46" s="25" t="n"/>
      <c r="S46" s="25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</row>
    <row r="47">
      <c r="E47" s="27" t="n"/>
      <c r="F47" s="27" t="n"/>
      <c r="G47" s="27" t="n"/>
      <c r="H47" s="25" t="n"/>
      <c r="I47" s="25" t="n"/>
      <c r="J47" s="25" t="n"/>
      <c r="K47" s="25" t="n"/>
      <c r="L47" s="26" t="n"/>
      <c r="M47" s="25" t="n"/>
      <c r="N47" s="25" t="n"/>
      <c r="O47" s="26" t="n"/>
      <c r="P47" s="25" t="n"/>
      <c r="Q47" s="25" t="n"/>
      <c r="R47" s="25" t="n"/>
      <c r="S47" s="25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</row>
    <row r="48">
      <c r="E48" s="27" t="n"/>
      <c r="F48" s="27" t="n"/>
      <c r="G48" s="27" t="n"/>
      <c r="H48" s="25" t="n"/>
      <c r="I48" s="25" t="n"/>
      <c r="J48" s="25" t="n"/>
      <c r="K48" s="25" t="n"/>
      <c r="L48" s="26" t="n"/>
      <c r="M48" s="25" t="n"/>
      <c r="N48" s="25" t="n"/>
      <c r="O48" s="26" t="n"/>
      <c r="P48" s="25" t="n"/>
      <c r="Q48" s="25" t="n"/>
      <c r="R48" s="25" t="n"/>
      <c r="S48" s="25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</row>
    <row r="49">
      <c r="E49" s="27" t="n"/>
      <c r="F49" s="27" t="n"/>
      <c r="G49" s="27" t="n"/>
      <c r="H49" s="25" t="n"/>
      <c r="I49" s="25" t="n"/>
      <c r="J49" s="25" t="n"/>
      <c r="K49" s="25" t="n"/>
      <c r="L49" s="26" t="n"/>
      <c r="M49" s="25" t="n"/>
      <c r="N49" s="25" t="n"/>
      <c r="O49" s="26" t="n"/>
      <c r="P49" s="25" t="n"/>
      <c r="Q49" s="25" t="n"/>
      <c r="R49" s="25" t="n"/>
      <c r="S49" s="25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</row>
    <row r="50">
      <c r="E50" s="27" t="n"/>
      <c r="F50" s="27" t="n"/>
      <c r="G50" s="27" t="n"/>
      <c r="H50" s="25" t="n"/>
      <c r="I50" s="25" t="n"/>
      <c r="J50" s="25" t="n"/>
      <c r="K50" s="25" t="n"/>
      <c r="L50" s="26" t="n"/>
      <c r="M50" s="25" t="n"/>
      <c r="N50" s="25" t="n"/>
      <c r="O50" s="26" t="n"/>
      <c r="P50" s="25" t="n"/>
      <c r="Q50" s="25" t="n"/>
      <c r="R50" s="25" t="n"/>
      <c r="S50" s="25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</row>
    <row r="51">
      <c r="E51" s="27" t="n"/>
      <c r="F51" s="27" t="n"/>
      <c r="G51" s="27" t="n"/>
      <c r="H51" s="25" t="n"/>
      <c r="I51" s="25" t="n"/>
      <c r="J51" s="25" t="n"/>
      <c r="K51" s="25" t="n"/>
      <c r="L51" s="26" t="n"/>
      <c r="M51" s="25" t="n"/>
      <c r="N51" s="25" t="n"/>
      <c r="O51" s="26" t="n"/>
      <c r="P51" s="25" t="n"/>
      <c r="Q51" s="25" t="n"/>
      <c r="R51" s="25" t="n"/>
      <c r="S51" s="25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</row>
    <row r="52">
      <c r="E52" s="27" t="n"/>
      <c r="F52" s="27" t="n"/>
      <c r="G52" s="27" t="n"/>
      <c r="H52" s="25" t="n"/>
      <c r="I52" s="25" t="n"/>
      <c r="J52" s="25" t="n"/>
      <c r="K52" s="25" t="n"/>
      <c r="L52" s="26" t="n"/>
      <c r="M52" s="25" t="n"/>
      <c r="N52" s="25" t="n"/>
      <c r="O52" s="26" t="n"/>
      <c r="P52" s="25" t="n"/>
      <c r="Q52" s="25" t="n"/>
      <c r="R52" s="25" t="n"/>
      <c r="S52" s="25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</row>
    <row r="53">
      <c r="E53" s="27" t="n"/>
      <c r="F53" s="27" t="n"/>
      <c r="G53" s="27" t="n"/>
      <c r="H53" s="25" t="n"/>
      <c r="I53" s="25" t="n"/>
      <c r="J53" s="25" t="n"/>
      <c r="K53" s="25" t="n"/>
      <c r="L53" s="26" t="n"/>
      <c r="M53" s="25" t="n"/>
      <c r="N53" s="25" t="n"/>
      <c r="O53" s="26" t="n"/>
      <c r="P53" s="25" t="n"/>
      <c r="Q53" s="25" t="n"/>
      <c r="R53" s="25" t="n"/>
      <c r="S53" s="25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</row>
    <row r="54">
      <c r="E54" s="27" t="n"/>
      <c r="F54" s="27" t="n"/>
      <c r="G54" s="27" t="n"/>
      <c r="H54" s="25" t="n"/>
      <c r="I54" s="25" t="n"/>
      <c r="J54" s="25" t="n"/>
      <c r="K54" s="25" t="n"/>
      <c r="L54" s="26" t="n"/>
      <c r="M54" s="25" t="n"/>
      <c r="N54" s="25" t="n"/>
      <c r="O54" s="26" t="n"/>
      <c r="P54" s="25" t="n"/>
      <c r="Q54" s="25" t="n"/>
      <c r="R54" s="25" t="n"/>
      <c r="S54" s="25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</row>
    <row r="55">
      <c r="E55" s="27" t="n"/>
      <c r="F55" s="27" t="n"/>
      <c r="G55" s="27" t="n"/>
      <c r="H55" s="25" t="n"/>
      <c r="I55" s="25" t="n"/>
      <c r="J55" s="25" t="n"/>
      <c r="K55" s="25" t="n"/>
      <c r="L55" s="26" t="n"/>
      <c r="M55" s="25" t="n"/>
      <c r="N55" s="25" t="n"/>
      <c r="O55" s="26" t="n"/>
      <c r="P55" s="25" t="n"/>
      <c r="Q55" s="25" t="n"/>
      <c r="R55" s="25" t="n"/>
      <c r="S55" s="25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</row>
    <row r="56" ht="44.25" customHeight="1" s="49">
      <c r="E56" s="27" t="n"/>
      <c r="F56" s="27" t="n"/>
      <c r="G56" s="27" t="n"/>
      <c r="H56" s="25" t="n"/>
      <c r="I56" s="25" t="n"/>
      <c r="J56" s="25" t="n"/>
      <c r="K56" s="25" t="n"/>
      <c r="L56" s="26" t="n"/>
      <c r="M56" s="25" t="n"/>
      <c r="N56" s="25" t="n"/>
      <c r="O56" s="26" t="n"/>
      <c r="P56" s="25" t="n"/>
      <c r="Q56" s="25" t="n"/>
      <c r="R56" s="25" t="n"/>
      <c r="S56" s="25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</row>
    <row r="57">
      <c r="E57" s="27" t="n"/>
      <c r="F57" s="27" t="n"/>
      <c r="G57" s="27" t="n"/>
      <c r="H57" s="25" t="n"/>
      <c r="I57" s="25" t="n"/>
      <c r="J57" s="25" t="n"/>
      <c r="K57" s="25" t="n"/>
      <c r="L57" s="26" t="n"/>
      <c r="M57" s="25" t="n"/>
      <c r="N57" s="25" t="n"/>
      <c r="O57" s="26" t="n"/>
      <c r="P57" s="25" t="n"/>
      <c r="Q57" s="25" t="n"/>
      <c r="R57" s="25" t="n"/>
      <c r="S57" s="25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</row>
    <row r="58">
      <c r="E58" s="27" t="n"/>
      <c r="F58" s="27" t="n"/>
      <c r="G58" s="27" t="n"/>
      <c r="H58" s="25" t="n"/>
      <c r="I58" s="25" t="n"/>
      <c r="J58" s="25" t="n"/>
      <c r="K58" s="25" t="n"/>
      <c r="L58" s="19" t="n"/>
      <c r="M58" s="25" t="n"/>
      <c r="N58" s="25" t="n"/>
      <c r="O58" s="26" t="n"/>
      <c r="P58" s="25" t="n"/>
      <c r="Q58" s="25" t="n"/>
      <c r="R58" s="25" t="n"/>
      <c r="S58" s="25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</row>
    <row r="59">
      <c r="E59" s="27" t="n"/>
      <c r="F59" s="27" t="n"/>
      <c r="G59" s="27" t="n"/>
      <c r="H59" s="25" t="n"/>
      <c r="I59" s="25" t="n"/>
      <c r="J59" s="25" t="n"/>
      <c r="K59" s="25" t="n"/>
      <c r="L59" s="20" t="n"/>
      <c r="M59" s="25" t="n"/>
      <c r="N59" s="25" t="n"/>
      <c r="O59" s="26" t="n"/>
      <c r="P59" s="25" t="n"/>
      <c r="Q59" s="25" t="n"/>
      <c r="R59" s="25" t="n"/>
      <c r="S59" s="25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</row>
    <row r="60">
      <c r="E60" s="27" t="n"/>
      <c r="F60" s="27" t="n"/>
      <c r="G60" s="27" t="n"/>
      <c r="H60" s="25" t="n"/>
      <c r="I60" s="25" t="n"/>
      <c r="J60" s="25" t="n"/>
      <c r="K60" s="25" t="n"/>
      <c r="L60" s="20" t="n"/>
      <c r="M60" s="25" t="n"/>
      <c r="N60" s="25" t="n"/>
      <c r="O60" s="26" t="n"/>
      <c r="P60" s="25" t="n"/>
      <c r="Q60" s="25" t="n"/>
      <c r="R60" s="25" t="n"/>
      <c r="S60" s="25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</row>
    <row r="61">
      <c r="E61" s="27" t="n"/>
      <c r="F61" s="27" t="n"/>
      <c r="G61" s="27" t="n"/>
      <c r="H61" s="25" t="n"/>
      <c r="I61" s="25" t="n"/>
      <c r="J61" s="25" t="n"/>
      <c r="K61" s="25" t="n"/>
      <c r="L61" s="20" t="n"/>
      <c r="M61" s="25" t="n"/>
      <c r="N61" s="25" t="n"/>
      <c r="O61" s="26" t="n"/>
      <c r="P61" s="25" t="n"/>
      <c r="Q61" s="25" t="n"/>
      <c r="R61" s="25" t="n"/>
      <c r="S61" s="25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</row>
    <row r="62">
      <c r="E62" s="27" t="n"/>
      <c r="F62" s="27" t="n"/>
      <c r="G62" s="27" t="n"/>
      <c r="H62" s="25" t="n"/>
      <c r="I62" s="25" t="n"/>
      <c r="J62" s="25" t="n"/>
      <c r="K62" s="25" t="n"/>
      <c r="L62" s="20" t="n"/>
      <c r="M62" s="25" t="n"/>
      <c r="N62" s="25" t="n"/>
      <c r="O62" s="26" t="n"/>
      <c r="P62" s="25" t="n"/>
      <c r="Q62" s="25" t="n"/>
      <c r="R62" s="25" t="n"/>
      <c r="S62" s="25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</row>
    <row r="63">
      <c r="E63" s="27" t="n"/>
      <c r="F63" s="27" t="n"/>
      <c r="G63" s="27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6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</row>
    <row r="64">
      <c r="E64" s="27" t="n"/>
      <c r="F64" s="27" t="n"/>
      <c r="G64" s="27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6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</row>
    <row r="65">
      <c r="E65" s="27" t="n"/>
      <c r="F65" s="27" t="n"/>
      <c r="G65" s="27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6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</row>
    <row r="66">
      <c r="E66" s="27" t="n"/>
      <c r="F66" s="27" t="n"/>
      <c r="G66" s="27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6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</row>
    <row r="67">
      <c r="E67" s="27" t="n"/>
      <c r="F67" s="27" t="n"/>
      <c r="G67" s="27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6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</row>
    <row r="68">
      <c r="E68" s="27" t="n"/>
      <c r="F68" s="27" t="n"/>
      <c r="G68" s="27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6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</row>
    <row r="69">
      <c r="E69" s="27" t="n"/>
      <c r="F69" s="27" t="n"/>
      <c r="G69" s="27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6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</row>
    <row r="70">
      <c r="E70" s="27" t="n"/>
      <c r="F70" s="27" t="n"/>
      <c r="G70" s="27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6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</row>
    <row r="71">
      <c r="E71" s="27" t="n"/>
      <c r="F71" s="27" t="n"/>
      <c r="G71" s="27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6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</row>
    <row r="72">
      <c r="E72" s="27" t="n"/>
      <c r="F72" s="27" t="n"/>
      <c r="G72" s="27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6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</row>
    <row r="73">
      <c r="E73" s="27" t="n"/>
      <c r="F73" s="27" t="n"/>
      <c r="G73" s="27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6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</row>
    <row r="74">
      <c r="E74" s="27" t="n"/>
      <c r="F74" s="27" t="n"/>
      <c r="G74" s="27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6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</row>
    <row r="75">
      <c r="E75" s="28" t="n"/>
      <c r="F75" s="34" t="n"/>
      <c r="G75" s="34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</row>
    <row r="76">
      <c r="E76" s="28" t="n"/>
      <c r="F76" s="34" t="n"/>
      <c r="G76" s="34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</row>
    <row r="77">
      <c r="E77" s="28" t="n"/>
      <c r="F77" s="34" t="n"/>
      <c r="G77" s="34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</row>
    <row r="78">
      <c r="E78" s="28" t="n"/>
      <c r="F78" s="34" t="n"/>
      <c r="G78" s="34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</row>
    <row r="79">
      <c r="E79" s="28" t="n"/>
      <c r="F79" s="34" t="n"/>
      <c r="G79" s="34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</row>
    <row r="80">
      <c r="E80" s="28" t="n"/>
      <c r="F80" s="34" t="n"/>
      <c r="G80" s="34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</row>
    <row r="81">
      <c r="E81" s="28" t="n"/>
      <c r="F81" s="34" t="n"/>
      <c r="G81" s="34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</row>
    <row r="82">
      <c r="E82" s="28" t="n"/>
      <c r="F82" s="34" t="n"/>
      <c r="G82" s="34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</row>
    <row r="83">
      <c r="E83" s="28" t="n"/>
      <c r="F83" s="34" t="n"/>
      <c r="G83" s="34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</row>
    <row r="84">
      <c r="E84" s="28" t="n"/>
      <c r="F84" s="34" t="n"/>
      <c r="G84" s="34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</row>
    <row r="85">
      <c r="E85" s="28" t="n"/>
      <c r="F85" s="34" t="n"/>
      <c r="G85" s="34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</row>
    <row r="86">
      <c r="E86" s="28" t="n"/>
      <c r="F86" s="34" t="n"/>
      <c r="G86" s="34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</row>
    <row r="87">
      <c r="E87" s="28" t="n"/>
      <c r="F87" s="34" t="n"/>
      <c r="G87" s="34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</row>
    <row r="88">
      <c r="E88" s="28" t="n"/>
      <c r="F88" s="34" t="n"/>
      <c r="G88" s="34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</row>
    <row r="89">
      <c r="E89" s="28" t="n"/>
      <c r="F89" s="34" t="n"/>
      <c r="G89" s="34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</row>
    <row r="90">
      <c r="E90" s="28" t="n"/>
      <c r="F90" s="34" t="n"/>
      <c r="G90" s="34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</row>
    <row r="91">
      <c r="E91" s="28" t="n"/>
      <c r="F91" s="34" t="n"/>
      <c r="G91" s="34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Y91" s="13" t="n"/>
      <c r="Z91" s="13" t="n"/>
      <c r="AA91" s="13" t="n"/>
      <c r="AB91" s="13" t="n"/>
      <c r="AC91" s="13" t="n"/>
    </row>
    <row r="92">
      <c r="E92" s="28" t="n"/>
      <c r="F92" s="34" t="n"/>
      <c r="G92" s="34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</row>
    <row r="93">
      <c r="E93" s="28" t="n"/>
      <c r="F93" s="34" t="n"/>
      <c r="G93" s="34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</row>
    <row r="94">
      <c r="E94" s="28" t="n"/>
      <c r="F94" s="34" t="n"/>
      <c r="G94" s="34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</row>
    <row r="95">
      <c r="E95" s="28" t="n"/>
      <c r="F95" s="34" t="n"/>
      <c r="G95" s="34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</row>
    <row r="96">
      <c r="E96" s="28" t="n"/>
      <c r="F96" s="34" t="n"/>
      <c r="G96" s="34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</row>
    <row r="97">
      <c r="E97" s="28" t="n"/>
      <c r="F97" s="34" t="n"/>
      <c r="G97" s="34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</row>
    <row r="98">
      <c r="E98" s="28" t="n"/>
      <c r="F98" s="34" t="n"/>
      <c r="G98" s="34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</row>
    <row r="99">
      <c r="E99" s="28" t="n"/>
      <c r="F99" s="34" t="n"/>
      <c r="G99" s="34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</row>
    <row r="100">
      <c r="E100" s="28" t="n"/>
      <c r="F100" s="34" t="n"/>
      <c r="G100" s="34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</row>
    <row r="101">
      <c r="E101" s="28" t="n"/>
      <c r="F101" s="34" t="n"/>
      <c r="G101" s="34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</row>
    <row r="102">
      <c r="E102" s="28" t="n"/>
      <c r="F102" s="34" t="n"/>
      <c r="G102" s="34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</row>
    <row r="103">
      <c r="E103" s="28" t="n"/>
      <c r="F103" s="34" t="n"/>
      <c r="G103" s="34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</row>
    <row r="104">
      <c r="E104" s="28" t="n"/>
      <c r="F104" s="34" t="n"/>
      <c r="G104" s="34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</row>
    <row r="105">
      <c r="E105" s="28" t="n"/>
      <c r="F105" s="34" t="n"/>
      <c r="G105" s="34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</row>
    <row r="106">
      <c r="E106" s="28" t="n"/>
      <c r="F106" s="34" t="n"/>
      <c r="G106" s="34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</row>
    <row r="107">
      <c r="E107" s="28" t="n"/>
      <c r="F107" s="34" t="n"/>
      <c r="G107" s="34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</row>
    <row r="108">
      <c r="E108" s="28" t="n"/>
      <c r="F108" s="34" t="n"/>
      <c r="G108" s="34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</row>
    <row r="109">
      <c r="E109" s="28" t="n"/>
      <c r="F109" s="34" t="n"/>
      <c r="G109" s="34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</row>
    <row r="110">
      <c r="E110" s="28" t="n"/>
      <c r="F110" s="34" t="n"/>
      <c r="G110" s="34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</row>
    <row r="111">
      <c r="E111" s="28" t="n"/>
      <c r="F111" s="34" t="n"/>
      <c r="G111" s="34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</row>
    <row r="112">
      <c r="E112" s="28" t="n"/>
      <c r="F112" s="34" t="n"/>
      <c r="G112" s="34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</row>
    <row r="113">
      <c r="E113" s="28" t="n"/>
      <c r="F113" s="34" t="n"/>
      <c r="G113" s="34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</row>
    <row r="114">
      <c r="E114" s="28" t="n"/>
      <c r="F114" s="34" t="n"/>
      <c r="G114" s="34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</row>
    <row r="115">
      <c r="E115" s="28" t="n"/>
      <c r="F115" s="34" t="n"/>
      <c r="G115" s="34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</row>
    <row r="116">
      <c r="E116" s="28" t="n"/>
      <c r="F116" s="34" t="n"/>
      <c r="G116" s="34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</row>
    <row r="117">
      <c r="E117" s="28" t="n"/>
      <c r="F117" s="34" t="n"/>
      <c r="G117" s="34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</row>
    <row r="118">
      <c r="E118" s="28" t="n"/>
      <c r="F118" s="34" t="n"/>
      <c r="G118" s="34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</row>
    <row r="119">
      <c r="E119" s="28" t="n"/>
      <c r="F119" s="34" t="n"/>
      <c r="G119" s="34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</row>
    <row r="120">
      <c r="E120" s="28" t="n"/>
      <c r="F120" s="34" t="n"/>
      <c r="G120" s="34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</row>
    <row r="121">
      <c r="E121" s="28" t="n"/>
      <c r="F121" s="34" t="n"/>
      <c r="G121" s="34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</row>
    <row r="122">
      <c r="E122" s="28" t="n"/>
      <c r="F122" s="34" t="n"/>
      <c r="G122" s="34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</row>
    <row r="123">
      <c r="E123" s="28" t="n"/>
      <c r="F123" s="34" t="n"/>
      <c r="G123" s="34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</row>
    <row r="124">
      <c r="E124" s="28" t="n"/>
      <c r="F124" s="34" t="n"/>
      <c r="G124" s="34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</row>
    <row r="125">
      <c r="E125" s="13" t="n"/>
      <c r="F125" s="13" t="n"/>
      <c r="G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</row>
    <row r="126">
      <c r="E126" s="13" t="n"/>
      <c r="F126" s="13" t="n"/>
      <c r="G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</row>
    <row r="127">
      <c r="E127" s="13" t="n"/>
      <c r="F127" s="13" t="n"/>
      <c r="G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</row>
    <row r="128">
      <c r="E128" s="13" t="n"/>
      <c r="F128" s="13" t="n"/>
      <c r="G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</row>
    <row r="129">
      <c r="E129" s="13" t="n"/>
      <c r="F129" s="13" t="n"/>
      <c r="G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</row>
    <row r="130">
      <c r="E130" s="13" t="n"/>
      <c r="F130" s="13" t="n"/>
      <c r="G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</row>
    <row r="131">
      <c r="E131" s="13" t="n"/>
      <c r="F131" s="13" t="n"/>
      <c r="G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</row>
    <row r="132">
      <c r="E132" s="13" t="n"/>
      <c r="F132" s="13" t="n"/>
      <c r="G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</row>
    <row r="133">
      <c r="E133" s="13" t="n"/>
      <c r="F133" s="13" t="n"/>
      <c r="G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</row>
    <row r="134">
      <c r="E134" s="13" t="n"/>
      <c r="F134" s="13" t="n"/>
      <c r="G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</row>
    <row r="135">
      <c r="E135" s="13" t="n"/>
      <c r="F135" s="13" t="n"/>
      <c r="G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</row>
    <row r="136">
      <c r="E136" s="13" t="n"/>
      <c r="F136" s="13" t="n"/>
      <c r="G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</row>
    <row r="137">
      <c r="E137" s="13" t="n"/>
      <c r="F137" s="13" t="n"/>
      <c r="G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</row>
    <row r="138">
      <c r="E138" s="13" t="n"/>
      <c r="F138" s="13" t="n"/>
      <c r="G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</row>
    <row r="139">
      <c r="E139" s="13" t="n"/>
      <c r="F139" s="13" t="n"/>
      <c r="G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</row>
    <row r="140">
      <c r="E140" s="13" t="n"/>
      <c r="F140" s="13" t="n"/>
      <c r="G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</row>
    <row r="141">
      <c r="E141" s="13" t="n"/>
      <c r="F141" s="13" t="n"/>
      <c r="G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</row>
    <row r="142">
      <c r="E142" s="13" t="n"/>
      <c r="F142" s="13" t="n"/>
      <c r="G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</row>
    <row r="143">
      <c r="E143" s="13" t="n"/>
      <c r="F143" s="13" t="n"/>
      <c r="G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</row>
    <row r="144">
      <c r="E144" s="13" t="n"/>
      <c r="F144" s="13" t="n"/>
      <c r="G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</row>
    <row r="145">
      <c r="E145" s="13" t="n"/>
      <c r="F145" s="13" t="n"/>
      <c r="G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</row>
    <row r="146">
      <c r="E146" s="13" t="n"/>
      <c r="F146" s="13" t="n"/>
      <c r="G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</row>
    <row r="147">
      <c r="E147" s="13" t="n"/>
      <c r="F147" s="13" t="n"/>
      <c r="G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</row>
    <row r="148">
      <c r="E148" s="13" t="n"/>
      <c r="F148" s="13" t="n"/>
      <c r="G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</row>
    <row r="149">
      <c r="E149" s="13" t="n"/>
      <c r="F149" s="13" t="n"/>
      <c r="G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</row>
    <row r="150">
      <c r="E150" s="13" t="n"/>
      <c r="F150" s="13" t="n"/>
      <c r="G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</row>
    <row r="151">
      <c r="E151" s="13" t="n"/>
      <c r="F151" s="13" t="n"/>
      <c r="G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</row>
    <row r="152">
      <c r="E152" s="13" t="n"/>
      <c r="F152" s="13" t="n"/>
      <c r="G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</row>
    <row r="153">
      <c r="E153" s="13" t="n"/>
      <c r="F153" s="13" t="n"/>
      <c r="G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</row>
    <row r="154">
      <c r="E154" s="13" t="n"/>
      <c r="F154" s="13" t="n"/>
      <c r="G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</row>
    <row r="155">
      <c r="E155" s="13" t="n"/>
      <c r="F155" s="13" t="n"/>
      <c r="G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</row>
    <row r="156">
      <c r="E156" s="13" t="n"/>
      <c r="F156" s="13" t="n"/>
      <c r="G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</row>
    <row r="157">
      <c r="E157" s="13" t="n"/>
      <c r="F157" s="13" t="n"/>
      <c r="G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</row>
    <row r="158">
      <c r="E158" s="13" t="n"/>
      <c r="F158" s="13" t="n"/>
      <c r="G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</row>
    <row r="159">
      <c r="E159" s="13" t="n"/>
      <c r="F159" s="13" t="n"/>
      <c r="G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</row>
    <row r="160">
      <c r="E160" s="13" t="n"/>
      <c r="F160" s="13" t="n"/>
      <c r="G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</row>
    <row r="161">
      <c r="E161" s="13" t="n"/>
      <c r="F161" s="13" t="n"/>
      <c r="G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</row>
    <row r="162">
      <c r="E162" s="13" t="n"/>
      <c r="F162" s="13" t="n"/>
      <c r="G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</row>
    <row r="163">
      <c r="E163" s="13" t="n"/>
      <c r="F163" s="13" t="n"/>
      <c r="G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</row>
    <row r="164">
      <c r="E164" s="13" t="n"/>
      <c r="F164" s="13" t="n"/>
      <c r="G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</row>
    <row r="165">
      <c r="E165" s="13" t="n"/>
      <c r="F165" s="13" t="n"/>
      <c r="G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</row>
    <row r="166">
      <c r="E166" s="13" t="n"/>
      <c r="F166" s="13" t="n"/>
      <c r="G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</row>
    <row r="167">
      <c r="E167" s="13" t="n"/>
      <c r="F167" s="13" t="n"/>
      <c r="G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</row>
    <row r="168">
      <c r="E168" s="13" t="n"/>
      <c r="F168" s="13" t="n"/>
      <c r="G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</row>
    <row r="169">
      <c r="E169" s="13" t="n"/>
      <c r="F169" s="13" t="n"/>
      <c r="G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</row>
    <row r="170">
      <c r="E170" s="13" t="n"/>
      <c r="F170" s="13" t="n"/>
      <c r="G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</row>
    <row r="171"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</row>
    <row r="172"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</row>
    <row r="173"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</row>
    <row r="174" ht="42" customHeight="1" s="49"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</row>
    <row r="175"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</row>
    <row r="176"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</row>
    <row r="177"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</row>
    <row r="178"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</row>
    <row r="179"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</row>
    <row r="180"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</row>
    <row r="181"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</row>
    <row r="182" ht="48" customHeight="1" s="49"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</row>
    <row r="183"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</row>
    <row r="184"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</row>
    <row r="185" ht="46.5" customHeight="1" s="49"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</row>
    <row r="186" ht="34.5" customHeight="1" s="49"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</row>
    <row r="187" ht="45" customHeight="1" s="49"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</row>
    <row r="188" ht="46.5" customHeight="1" s="49"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</row>
    <row r="189" ht="45" customHeight="1" s="49"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</row>
    <row r="190" ht="43.5" customHeight="1" s="49"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</row>
    <row r="191" ht="37.5" customHeight="1" s="49"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</row>
    <row r="192" ht="36" customHeight="1" s="49"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</row>
    <row r="193" ht="43.5" customHeight="1" s="49"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</row>
    <row r="194" ht="39" customHeight="1" s="49"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</row>
    <row r="195"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</row>
    <row r="196" ht="39" customHeight="1" s="49"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</row>
    <row r="197" ht="42" customHeight="1" s="49"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</row>
    <row r="198"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</row>
    <row r="199"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</row>
    <row r="200"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</row>
    <row r="201" ht="42" customHeight="1" s="49"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</row>
    <row r="202" ht="42" customHeight="1" s="49"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</row>
    <row r="203" ht="36" customHeight="1" s="49"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</row>
    <row r="204" ht="37.5" customHeight="1" s="49"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</row>
    <row r="205" ht="48" customHeight="1" s="49"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</row>
    <row r="206" ht="37.5" customHeight="1" s="49"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</row>
    <row r="207"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</row>
    <row r="208"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</row>
    <row r="209"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</row>
    <row r="210" ht="58.5" customHeight="1" s="49"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</row>
    <row r="211"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</row>
    <row r="212"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</row>
    <row r="213"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</row>
    <row r="214"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</row>
    <row r="215"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</row>
    <row r="216"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</row>
    <row r="217"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</row>
    <row r="218"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</row>
    <row r="219"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</row>
    <row r="220"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</row>
    <row r="221"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</row>
    <row r="222"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</row>
    <row r="223"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</row>
    <row r="224"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</row>
    <row r="225"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</row>
    <row r="226"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</row>
    <row r="227"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</row>
    <row r="228"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</row>
    <row r="229"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</row>
    <row r="230"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</row>
    <row r="231"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</row>
    <row r="232"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</row>
    <row r="233"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</row>
    <row r="234"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</row>
    <row r="235"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</row>
    <row r="236"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</row>
    <row r="237"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</row>
    <row r="238"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</row>
    <row r="239"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</row>
    <row r="240"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</row>
    <row r="241"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</row>
    <row r="242"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</row>
    <row r="243"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</row>
    <row r="244"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</row>
    <row r="245"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</row>
    <row r="246"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</row>
    <row r="247"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</row>
    <row r="248"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</row>
    <row r="249"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</row>
    <row r="250"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22" t="n"/>
      <c r="U250" s="1" t="n"/>
      <c r="V250" s="23" t="n"/>
      <c r="W250" s="24" t="n"/>
      <c r="X250" s="24" t="n"/>
      <c r="Y250" s="13" t="n"/>
      <c r="Z250" s="13" t="n"/>
      <c r="AA250" s="13" t="n"/>
      <c r="AB250" s="13" t="n"/>
      <c r="AC250" s="13" t="n"/>
    </row>
    <row r="251"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22" t="n"/>
      <c r="U251" s="1" t="n"/>
      <c r="V251" s="23" t="n"/>
      <c r="W251" s="24" t="n"/>
      <c r="X251" s="24" t="n"/>
      <c r="Y251" s="13" t="n"/>
      <c r="Z251" s="13" t="n"/>
      <c r="AA251" s="13" t="n"/>
      <c r="AB251" s="13" t="n"/>
      <c r="AC251" s="13" t="n"/>
    </row>
    <row r="252"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22" t="n"/>
      <c r="U252" s="1" t="n"/>
      <c r="V252" s="23" t="n"/>
      <c r="W252" s="24" t="n"/>
      <c r="X252" s="24" t="n"/>
      <c r="Y252" s="13" t="n"/>
      <c r="Z252" s="13" t="n"/>
      <c r="AA252" s="13" t="n"/>
      <c r="AB252" s="13" t="n"/>
      <c r="AC252" s="13" t="n"/>
    </row>
    <row r="253"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22" t="n"/>
      <c r="U253" s="1" t="n"/>
      <c r="V253" s="23" t="n"/>
      <c r="W253" s="24" t="n"/>
      <c r="X253" s="24" t="n"/>
      <c r="Y253" s="13" t="n"/>
      <c r="Z253" s="13" t="n"/>
      <c r="AA253" s="13" t="n"/>
      <c r="AB253" s="13" t="n"/>
      <c r="AC253" s="13" t="n"/>
    </row>
    <row r="254"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22" t="n"/>
      <c r="U254" s="1" t="n"/>
      <c r="V254" s="23" t="n"/>
      <c r="W254" s="24" t="n"/>
      <c r="X254" s="24" t="n"/>
      <c r="Y254" s="13" t="n"/>
      <c r="Z254" s="13" t="n"/>
      <c r="AA254" s="13" t="n"/>
      <c r="AB254" s="13" t="n"/>
      <c r="AC254" s="13" t="n"/>
    </row>
    <row r="255"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22" t="n"/>
      <c r="U255" s="1" t="n"/>
      <c r="V255" s="23" t="n"/>
      <c r="W255" s="24" t="n"/>
      <c r="X255" s="24" t="n"/>
      <c r="Y255" s="13" t="n"/>
      <c r="Z255" s="13" t="n"/>
      <c r="AA255" s="13" t="n"/>
      <c r="AB255" s="13" t="n"/>
      <c r="AC255" s="13" t="n"/>
    </row>
    <row r="256"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22" t="n"/>
      <c r="U256" s="1" t="n"/>
      <c r="V256" s="23" t="n"/>
      <c r="W256" s="24" t="n"/>
      <c r="X256" s="24" t="n"/>
      <c r="Y256" s="13" t="n"/>
      <c r="Z256" s="13" t="n"/>
      <c r="AA256" s="13" t="n"/>
      <c r="AB256" s="13" t="n"/>
      <c r="AC256" s="13" t="n"/>
    </row>
    <row r="257"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</row>
    <row r="258"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</row>
    <row r="259"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</row>
    <row r="260"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</row>
    <row r="261"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</row>
    <row r="262"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</row>
    <row r="263"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</row>
    <row r="264"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</row>
    <row r="265"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</row>
    <row r="266"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</row>
    <row r="267"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</row>
    <row r="268"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</row>
    <row r="269"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</row>
    <row r="270"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</row>
    <row r="271"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</row>
    <row r="272"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</row>
    <row r="273"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</row>
    <row r="274"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</row>
    <row r="275"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</row>
    <row r="276"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</row>
    <row r="277"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</row>
    <row r="278"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</row>
    <row r="279"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</row>
    <row r="280"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</row>
    <row r="281"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</row>
    <row r="282"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</row>
    <row r="283"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</row>
    <row r="284"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</row>
    <row r="285"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</row>
    <row r="286"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</row>
    <row r="287"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</row>
    <row r="288"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</row>
    <row r="289"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</row>
    <row r="290"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</row>
    <row r="291"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</row>
    <row r="292"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</row>
    <row r="293"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</row>
    <row r="294"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</row>
    <row r="295"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</row>
    <row r="296"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</row>
    <row r="297"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</row>
    <row r="298"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</row>
    <row r="299"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</row>
    <row r="300"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</row>
    <row r="301"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</row>
    <row r="302"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</row>
    <row r="303"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</row>
    <row r="304"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</row>
    <row r="305"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</row>
    <row r="306"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</row>
    <row r="307"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</row>
    <row r="308"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</row>
    <row r="309"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</row>
    <row r="310"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</row>
    <row r="311"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</row>
    <row r="312"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</row>
    <row r="313"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</row>
    <row r="314"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</row>
    <row r="315"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</row>
    <row r="316"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</row>
    <row r="317"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</row>
    <row r="318"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</row>
    <row r="319"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</row>
    <row r="320"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</row>
    <row r="321"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</row>
    <row r="322"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</row>
    <row r="323"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</row>
    <row r="324"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</row>
    <row r="325"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</row>
    <row r="326"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</row>
    <row r="327"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</row>
    <row r="328"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</row>
    <row r="329"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</row>
    <row r="330"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</row>
    <row r="331"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</row>
    <row r="332"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</row>
    <row r="333"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</row>
    <row r="334"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</row>
    <row r="335"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</row>
    <row r="336"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</row>
    <row r="337"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</row>
    <row r="338"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</row>
    <row r="339"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</row>
    <row r="340"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</row>
    <row r="341"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</row>
    <row r="342"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</row>
    <row r="343"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</row>
    <row r="344"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</row>
    <row r="345"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</row>
    <row r="346"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</row>
    <row r="347"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</row>
    <row r="348"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</row>
    <row r="349"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</row>
    <row r="350"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</row>
    <row r="351"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</row>
    <row r="352"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</row>
    <row r="353"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</row>
    <row r="354"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</row>
    <row r="355"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</row>
    <row r="356"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</row>
    <row r="357"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</row>
    <row r="358"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</row>
    <row r="359"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</row>
    <row r="360"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</row>
    <row r="361"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</row>
    <row r="362"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</row>
    <row r="363"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</row>
    <row r="364"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</row>
    <row r="365"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</row>
    <row r="366"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</row>
    <row r="367"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</row>
    <row r="368"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</row>
    <row r="369"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</row>
    <row r="370"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</row>
    <row r="371"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</row>
    <row r="372"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</row>
    <row r="373"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</row>
    <row r="374"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</row>
    <row r="375"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</row>
    <row r="376"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</row>
    <row r="377"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</row>
    <row r="378"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</row>
    <row r="379"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</row>
    <row r="380"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</row>
    <row r="381"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</row>
    <row r="382"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</row>
    <row r="383"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</row>
    <row r="384"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</row>
    <row r="385"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</row>
    <row r="386"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</row>
    <row r="387"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</row>
    <row r="388"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</row>
    <row r="389"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</row>
    <row r="390"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</row>
    <row r="391"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</row>
    <row r="392"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</row>
    <row r="393"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</row>
    <row r="394"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</row>
    <row r="395"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</row>
    <row r="396"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</row>
    <row r="397"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</row>
    <row r="398"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</row>
    <row r="399"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</row>
    <row r="400"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</row>
    <row r="401"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</row>
    <row r="402"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</row>
    <row r="403"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</row>
    <row r="404"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</row>
    <row r="405"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</row>
    <row r="406"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</row>
    <row r="407"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</row>
    <row r="408"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</row>
    <row r="409"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</row>
    <row r="410"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</row>
    <row r="411"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</row>
    <row r="412"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</row>
    <row r="413"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</row>
    <row r="414"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</row>
    <row r="415"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</row>
    <row r="416"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</row>
    <row r="417"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</row>
    <row r="418"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</row>
    <row r="419" ht="15.75" customHeight="1" s="49"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</row>
    <row r="420" ht="15.75" customHeight="1" s="49"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</row>
    <row r="421" ht="15.75" customHeight="1" s="49"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</row>
    <row r="422" ht="15.75" customHeight="1" s="49"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</row>
    <row r="423" ht="15.75" customHeight="1" s="49"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</row>
    <row r="424"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</row>
    <row r="425"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</row>
    <row r="426"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</row>
    <row r="427"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</row>
    <row r="428" ht="15.75" customHeight="1" s="49"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</row>
    <row r="429" ht="15.75" customHeight="1" s="49"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</row>
    <row r="430" ht="15.75" customHeight="1" s="49"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</row>
    <row r="431" ht="15.75" customHeight="1" s="49"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</row>
    <row r="432" ht="15.75" customHeight="1" s="49"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</row>
    <row r="433" ht="15.75" customHeight="1" s="49"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</row>
    <row r="434" ht="15.75" customHeight="1" s="49"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</row>
    <row r="435" ht="15.75" customHeight="1" s="49"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</row>
    <row r="436" ht="15.75" customHeight="1" s="49"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</row>
    <row r="437"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</row>
    <row r="438" ht="15.75" customHeight="1" s="49"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</row>
    <row r="439" ht="15.75" customHeight="1" s="49"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</row>
    <row r="440"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</row>
    <row r="441"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</row>
    <row r="442"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</row>
    <row r="443"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</row>
    <row r="444"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</row>
    <row r="445"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</row>
    <row r="446"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</row>
    <row r="447"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</row>
    <row r="448"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</row>
    <row r="449"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</row>
    <row r="450" ht="15.75" customHeight="1" s="49"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</row>
    <row r="451" ht="15.75" customHeight="1" s="49"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</row>
    <row r="452" ht="15.75" customHeight="1" s="49"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</row>
    <row r="453" ht="15.75" customHeight="1" s="49"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</row>
    <row r="454" ht="15.75" customHeight="1" s="49"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</row>
    <row r="455" ht="15.75" customHeight="1" s="49"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</row>
    <row r="456" ht="15.75" customHeight="1" s="49"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</row>
    <row r="457" ht="15.75" customHeight="1" s="49"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</row>
    <row r="458" ht="15.75" customHeight="1" s="49"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</row>
    <row r="459" ht="15.75" customHeight="1" s="49"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</row>
    <row r="460" ht="15.75" customHeight="1" s="49"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</row>
    <row r="461" ht="15.75" customHeight="1" s="49"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</row>
    <row r="462" ht="15.75" customHeight="1" s="49"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</row>
    <row r="463" ht="15.75" customHeight="1" s="49"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</row>
    <row r="464" ht="15.75" customHeight="1" s="49"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</row>
    <row r="465" ht="15.75" customHeight="1" s="49"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</row>
    <row r="466" ht="15.75" customHeight="1" s="49"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</row>
    <row r="467" ht="15.75" customHeight="1" s="49"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</row>
    <row r="468" ht="15.75" customHeight="1" s="49"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</row>
    <row r="469" ht="15.75" customHeight="1" s="49"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</row>
    <row r="470" ht="15.75" customHeight="1" s="49"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</row>
    <row r="471" ht="15.75" customHeight="1" s="49"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</row>
    <row r="472" ht="15.75" customHeight="1" s="49"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</row>
    <row r="473" ht="15.75" customHeight="1" s="49"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</row>
    <row r="474" ht="15.75" customHeight="1" s="49"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</row>
    <row r="475" ht="15.75" customHeight="1" s="49"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</row>
    <row r="476" ht="15.75" customHeight="1" s="49"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</row>
    <row r="477" ht="15.75" customHeight="1" s="49"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</row>
    <row r="478" ht="15.75" customHeight="1" s="49"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</row>
    <row r="479" ht="15.75" customHeight="1" s="49"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</row>
    <row r="480" ht="15.75" customHeight="1" s="49"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</row>
    <row r="481" ht="15.75" customHeight="1" s="49"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</row>
    <row r="482" ht="15.75" customHeight="1" s="49"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</row>
    <row r="483" ht="15.75" customHeight="1" s="49"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</row>
    <row r="484" ht="15.75" customHeight="1" s="49"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</row>
    <row r="485" ht="15.75" customHeight="1" s="49"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</row>
    <row r="486" ht="15.75" customHeight="1" s="49"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</row>
    <row r="487" ht="15.75" customHeight="1" s="49"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</row>
    <row r="488" ht="15.75" customHeight="1" s="49"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</row>
    <row r="489" ht="15.75" customHeight="1" s="49"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</row>
    <row r="490" ht="15.75" customHeight="1" s="49"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</row>
    <row r="491" ht="15.75" customHeight="1" s="49"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</row>
    <row r="492" ht="15.75" customHeight="1" s="49"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</row>
    <row r="493" ht="15.75" customHeight="1" s="49"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</row>
    <row r="494" ht="15.75" customHeight="1" s="49"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</row>
    <row r="495" ht="15.75" customHeight="1" s="49"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</row>
    <row r="496" ht="15.75" customHeight="1" s="49"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</row>
    <row r="497" ht="15.75" customHeight="1" s="49"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</row>
    <row r="498" ht="15.75" customHeight="1" s="49"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</row>
    <row r="499" ht="15.75" customHeight="1" s="49"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</row>
    <row r="500" ht="15.75" customHeight="1" s="49"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</row>
    <row r="501" ht="15.75" customHeight="1" s="49"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</row>
    <row r="502" ht="15.75" customHeight="1" s="49"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</row>
    <row r="503" ht="15.75" customHeight="1" s="49"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</row>
    <row r="504" ht="15.75" customHeight="1" s="49"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</row>
    <row r="505" ht="15.75" customHeight="1" s="49"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</row>
    <row r="506" ht="15.75" customHeight="1" s="49"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</row>
    <row r="507" ht="15.75" customHeight="1" s="49"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</row>
    <row r="508" ht="15.75" customHeight="1" s="49"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</row>
    <row r="509" ht="15.75" customHeight="1" s="49"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</row>
    <row r="510" ht="15.75" customHeight="1" s="49"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</row>
    <row r="511" ht="15.75" customHeight="1" s="49"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</row>
    <row r="512" ht="15.75" customHeight="1" s="49"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</row>
    <row r="513" ht="15.75" customHeight="1" s="49"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</row>
    <row r="514" ht="15.75" customHeight="1" s="49"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</row>
    <row r="515" ht="15.75" customHeight="1" s="49"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</row>
    <row r="516" ht="15.75" customHeight="1" s="49"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</row>
    <row r="517" ht="15.75" customHeight="1" s="49"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</row>
    <row r="518" ht="15.75" customHeight="1" s="49"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</row>
    <row r="519" ht="15.75" customHeight="1" s="49"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</row>
    <row r="520" ht="15.75" customHeight="1" s="49"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</row>
    <row r="521" ht="15.75" customHeight="1" s="49"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</row>
    <row r="522" ht="15.75" customHeight="1" s="49"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</row>
    <row r="523" ht="15.75" customHeight="1" s="49"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</row>
    <row r="524" ht="15.75" customHeight="1" s="49"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</row>
    <row r="525" ht="15.75" customHeight="1" s="49"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</row>
    <row r="526" ht="15.75" customHeight="1" s="49"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</row>
    <row r="527" ht="15.75" customHeight="1" s="49"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</row>
    <row r="528" ht="15.75" customHeight="1" s="49"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</row>
    <row r="529" ht="15.75" customHeight="1" s="49"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</row>
    <row r="530" ht="15.75" customHeight="1" s="49"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</row>
    <row r="531" ht="15.75" customHeight="1" s="49"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</row>
    <row r="532" ht="15.75" customHeight="1" s="49"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</row>
    <row r="533" ht="15.75" customHeight="1" s="49"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</row>
    <row r="534" ht="15.75" customHeight="1" s="49"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</row>
    <row r="535" ht="15.75" customHeight="1" s="49"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</row>
    <row r="536" ht="15.75" customHeight="1" s="49"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</row>
    <row r="537" ht="15.75" customHeight="1" s="49"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</row>
    <row r="538" ht="15.75" customHeight="1" s="49"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</row>
    <row r="539" ht="15.75" customHeight="1" s="49"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</row>
    <row r="540" ht="15.75" customHeight="1" s="49"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</row>
    <row r="541" ht="15.75" customHeight="1" s="49"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</row>
    <row r="542" ht="15.75" customHeight="1" s="49"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</row>
    <row r="543" ht="15.75" customHeight="1" s="49"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</row>
    <row r="544" ht="15.75" customHeight="1" s="49"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</row>
    <row r="545" ht="15.75" customHeight="1" s="49"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</row>
    <row r="546" ht="15.75" customHeight="1" s="49"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</row>
    <row r="547" ht="15.75" customHeight="1" s="49"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</row>
    <row r="548" ht="15.75" customHeight="1" s="49"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</row>
    <row r="549" ht="15.75" customHeight="1" s="49"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</row>
    <row r="550" ht="15.75" customHeight="1" s="49"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</row>
    <row r="551" ht="15.75" customHeight="1" s="49"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</row>
    <row r="552" ht="15.75" customHeight="1" s="49"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</row>
    <row r="553" ht="15.75" customHeight="1" s="49"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</row>
    <row r="554" ht="15.75" customHeight="1" s="49"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</row>
    <row r="555" ht="15.75" customHeight="1" s="49"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</row>
    <row r="556" ht="15.75" customHeight="1" s="49"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</row>
    <row r="557" ht="15.75" customHeight="1" s="49"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</row>
    <row r="558" ht="15.75" customHeight="1" s="49"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</row>
    <row r="559" ht="15.75" customHeight="1" s="49"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</row>
    <row r="560" ht="15.75" customHeight="1" s="49"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</row>
    <row r="561" ht="15.75" customHeight="1" s="49"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</row>
    <row r="562" ht="15.75" customHeight="1" s="49"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</row>
    <row r="563" ht="15.75" customHeight="1" s="49"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</row>
    <row r="564" ht="15.75" customHeight="1" s="49"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</row>
    <row r="565" ht="15.75" customHeight="1" s="49"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</row>
    <row r="566" ht="15.75" customHeight="1" s="49"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</row>
    <row r="567" ht="15.75" customHeight="1" s="49"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</row>
    <row r="568" ht="15.75" customHeight="1" s="49"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</row>
    <row r="569" ht="15.75" customHeight="1" s="49"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</row>
    <row r="570" ht="15.75" customHeight="1" s="49"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</row>
    <row r="571" ht="15.75" customHeight="1" s="49"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</row>
    <row r="572" ht="15.75" customHeight="1" s="49"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</row>
    <row r="573" ht="15.75" customHeight="1" s="49"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</row>
    <row r="574" ht="15.75" customHeight="1" s="49"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</row>
    <row r="575" ht="15.75" customHeight="1" s="49"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</row>
    <row r="576" ht="15.75" customHeight="1" s="49"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</row>
    <row r="577" ht="15.75" customHeight="1" s="49"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</row>
    <row r="578" ht="15.75" customHeight="1" s="49"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</row>
    <row r="579" ht="15.75" customHeight="1" s="49"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</row>
    <row r="580" ht="15.75" customHeight="1" s="49"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</row>
    <row r="581" ht="15.75" customHeight="1" s="49"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</row>
    <row r="582" ht="15.75" customHeight="1" s="49"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</row>
    <row r="583" ht="15.75" customHeight="1" s="49"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</row>
    <row r="584" ht="15.75" customHeight="1" s="49"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</row>
    <row r="585" ht="15.75" customHeight="1" s="49"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</row>
    <row r="586" ht="15.75" customHeight="1" s="49"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</row>
    <row r="587" ht="15.75" customHeight="1" s="49"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</row>
    <row r="588" ht="15.75" customHeight="1" s="49"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</row>
    <row r="589" ht="15.75" customHeight="1" s="49"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</row>
    <row r="590" ht="15.75" customHeight="1" s="49"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</row>
    <row r="591" ht="15.75" customHeight="1" s="49"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</row>
    <row r="592" ht="15.75" customHeight="1" s="49"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</row>
    <row r="593" ht="15.75" customHeight="1" s="49"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</row>
    <row r="594" ht="15.75" customHeight="1" s="49"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</row>
    <row r="595" ht="15.75" customHeight="1" s="49"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</row>
    <row r="596" ht="15.75" customHeight="1" s="49"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</row>
    <row r="597" ht="15.75" customHeight="1" s="49"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</row>
    <row r="598" ht="15.75" customHeight="1" s="49"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</row>
    <row r="599" ht="15.75" customHeight="1" s="49"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</row>
    <row r="600" ht="15.75" customHeight="1" s="49"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</row>
    <row r="601" ht="15.75" customHeight="1" s="49"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</row>
    <row r="602" ht="15.75" customHeight="1" s="49"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</row>
    <row r="603" ht="15.75" customHeight="1" s="49"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</row>
    <row r="604" ht="15.75" customHeight="1" s="49"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</row>
    <row r="605" ht="15.75" customHeight="1" s="49"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</row>
    <row r="606" ht="15.75" customHeight="1" s="49"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</row>
    <row r="607" ht="15.75" customHeight="1" s="49"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</row>
    <row r="608" ht="15.75" customHeight="1" s="49"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</row>
    <row r="609" ht="15.75" customHeight="1" s="49"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</row>
    <row r="610" ht="15.75" customHeight="1" s="49"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</row>
    <row r="611" ht="15.75" customHeight="1" s="49"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</row>
    <row r="612" ht="15.75" customHeight="1" s="49"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</row>
    <row r="613" ht="15.75" customHeight="1" s="49"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</row>
    <row r="614" ht="15.75" customHeight="1" s="49"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</row>
    <row r="615" ht="15.75" customHeight="1" s="49"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</row>
    <row r="616" ht="15.75" customHeight="1" s="49"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</row>
    <row r="617" ht="15.75" customHeight="1" s="49"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</row>
    <row r="618" ht="15.75" customHeight="1" s="49"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</row>
    <row r="619" ht="15.75" customHeight="1" s="49"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</row>
    <row r="620" ht="15.75" customHeight="1" s="49"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</row>
    <row r="621" ht="15.75" customHeight="1" s="49"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</row>
    <row r="622" ht="15.75" customHeight="1" s="49"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</row>
    <row r="623" ht="15.75" customHeight="1" s="49"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</row>
    <row r="624" ht="15.75" customHeight="1" s="49"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</row>
    <row r="625" ht="15.75" customHeight="1" s="49"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</row>
    <row r="626" ht="15.75" customHeight="1" s="49"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</row>
    <row r="627" ht="15.75" customHeight="1" s="49"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</row>
    <row r="628" ht="15.75" customHeight="1" s="49"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</row>
    <row r="629" ht="15.75" customHeight="1" s="49"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</row>
    <row r="630" ht="15.75" customHeight="1" s="49"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</row>
    <row r="631" ht="15.75" customHeight="1" s="49"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</row>
    <row r="632" ht="15.75" customHeight="1" s="49"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</row>
    <row r="633" ht="15.75" customHeight="1" s="49"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</row>
    <row r="634" ht="15.75" customHeight="1" s="49"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</row>
    <row r="635" ht="15.75" customHeight="1" s="49"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</row>
    <row r="636" ht="15.75" customHeight="1" s="49"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</row>
    <row r="637" ht="15.75" customHeight="1" s="49"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</row>
    <row r="638" ht="15.75" customHeight="1" s="49"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</row>
    <row r="639" ht="15.75" customHeight="1" s="49"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</row>
    <row r="640" ht="15.75" customHeight="1" s="49"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</row>
    <row r="641" ht="15.75" customHeight="1" s="49"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</row>
    <row r="642" ht="15.75" customHeight="1" s="49"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</row>
    <row r="643" ht="15.75" customHeight="1" s="49"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</row>
    <row r="644" ht="15.75" customHeight="1" s="49"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</row>
    <row r="645" ht="15.75" customHeight="1" s="49"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</row>
    <row r="646" ht="15.75" customHeight="1" s="49"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</row>
    <row r="647" ht="15.75" customHeight="1" s="49"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</row>
    <row r="648" ht="15.75" customHeight="1" s="49"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</row>
    <row r="649" ht="15.75" customHeight="1" s="49"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</row>
    <row r="650" ht="15.75" customHeight="1" s="49"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</row>
    <row r="651" ht="15.75" customHeight="1" s="49"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</row>
    <row r="652" ht="15.75" customHeight="1" s="49"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</row>
    <row r="653" ht="15.75" customHeight="1" s="49"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</row>
    <row r="654" ht="15.75" customHeight="1" s="49"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</row>
    <row r="655" ht="15.75" customHeight="1" s="49"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</row>
    <row r="656" ht="15.75" customHeight="1" s="49"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</row>
    <row r="657" ht="15.75" customHeight="1" s="49"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</row>
    <row r="658" ht="15.75" customHeight="1" s="49"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</row>
    <row r="659" ht="15.75" customHeight="1" s="49"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</row>
    <row r="660" ht="15.75" customHeight="1" s="49"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</row>
    <row r="661" ht="15.75" customHeight="1" s="49"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</row>
    <row r="662" ht="15.75" customHeight="1" s="49"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</row>
    <row r="663" ht="15.75" customHeight="1" s="49"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</row>
    <row r="664" ht="15.75" customHeight="1" s="49"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</row>
    <row r="665" ht="15.75" customHeight="1" s="49"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</row>
    <row r="666" ht="15.75" customHeight="1" s="49"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</row>
    <row r="667" ht="15.75" customHeight="1" s="49"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</row>
    <row r="668" ht="15.75" customHeight="1" s="49"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</row>
    <row r="669" ht="15.75" customHeight="1" s="49"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</row>
    <row r="670" ht="15.75" customHeight="1" s="49"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</row>
    <row r="671" ht="15.75" customHeight="1" s="49"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</row>
    <row r="672" ht="15.75" customHeight="1" s="49"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</row>
    <row r="673" ht="15.75" customHeight="1" s="49"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</row>
    <row r="674" ht="15.75" customHeight="1" s="49"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</row>
    <row r="675" ht="15.75" customHeight="1" s="49"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</row>
    <row r="676" ht="15.75" customHeight="1" s="49"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</row>
    <row r="677" ht="15.75" customHeight="1" s="49"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</row>
    <row r="678" ht="15.75" customHeight="1" s="49"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</row>
    <row r="679" ht="15.75" customHeight="1" s="49"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</row>
    <row r="680" ht="15.75" customHeight="1" s="49"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</row>
    <row r="681" ht="15.75" customHeight="1" s="49"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</row>
    <row r="682" ht="15.75" customHeight="1" s="49"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</row>
    <row r="683" ht="15.75" customHeight="1" s="49"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</row>
    <row r="684" ht="15.75" customHeight="1" s="49"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</row>
    <row r="685" ht="15.75" customHeight="1" s="49"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</row>
    <row r="686" ht="15.75" customHeight="1" s="49"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</row>
    <row r="687" ht="15.75" customHeight="1" s="49"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</row>
    <row r="688" ht="15.75" customHeight="1" s="49"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</row>
    <row r="689" ht="15.75" customHeight="1" s="49"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</row>
    <row r="690" ht="15.75" customHeight="1" s="49"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</row>
    <row r="691" ht="15.75" customHeight="1" s="49"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</row>
    <row r="692" ht="15.75" customHeight="1" s="49"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</row>
    <row r="693" ht="15.75" customHeight="1" s="49"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</row>
    <row r="694" ht="15.75" customHeight="1" s="49"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</row>
    <row r="695" ht="15.75" customHeight="1" s="49"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</row>
    <row r="696" ht="15.75" customHeight="1" s="49"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</row>
    <row r="697" ht="15.75" customHeight="1" s="49"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</row>
    <row r="698" ht="15.75" customHeight="1" s="49"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</row>
    <row r="699" ht="15.75" customHeight="1" s="49"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</row>
    <row r="700" ht="15.75" customHeight="1" s="49"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</row>
    <row r="701" ht="15.75" customHeight="1" s="49"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</row>
    <row r="702" ht="15.75" customHeight="1" s="49"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</row>
    <row r="703" ht="15.75" customHeight="1" s="49"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</row>
    <row r="704" ht="15.75" customHeight="1" s="49"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</row>
    <row r="705" ht="15.75" customHeight="1" s="49"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</row>
    <row r="706" ht="15.75" customHeight="1" s="49"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</row>
    <row r="707" ht="15.75" customHeight="1" s="49"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</row>
    <row r="708" ht="15.75" customHeight="1" s="49"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</row>
    <row r="709" ht="15.75" customHeight="1" s="49"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</row>
    <row r="710" ht="15.75" customHeight="1" s="49"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</row>
    <row r="711" ht="15.75" customHeight="1" s="49"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</row>
    <row r="712" ht="15.75" customHeight="1" s="49"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</row>
    <row r="713" ht="15.75" customHeight="1" s="49"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</row>
    <row r="714" ht="15.75" customHeight="1" s="49"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</row>
    <row r="715" ht="15.75" customHeight="1" s="49"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</row>
    <row r="716" ht="15.75" customHeight="1" s="49"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</row>
    <row r="717" ht="15.75" customHeight="1" s="49"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</row>
    <row r="718" ht="15.75" customHeight="1" s="49"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</row>
    <row r="719" ht="15.75" customHeight="1" s="49"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</row>
    <row r="720" ht="15.75" customHeight="1" s="49"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</row>
    <row r="721" ht="15.75" customHeight="1" s="49"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</row>
    <row r="722" ht="15.75" customHeight="1" s="49"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</row>
    <row r="723" ht="15.75" customHeight="1" s="49"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</row>
    <row r="724" ht="15.75" customHeight="1" s="49"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</row>
    <row r="725" ht="15.75" customHeight="1" s="49"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</row>
    <row r="726" ht="15.75" customHeight="1" s="49"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</row>
    <row r="727" ht="15.75" customHeight="1" s="49"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</row>
    <row r="728" ht="15.75" customHeight="1" s="49"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</row>
    <row r="729" ht="15.75" customHeight="1" s="49"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</row>
    <row r="730" ht="15.75" customHeight="1" s="49"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</row>
    <row r="731" ht="15.75" customHeight="1" s="49"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</row>
    <row r="732" ht="15.75" customHeight="1" s="49"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</row>
    <row r="733" ht="15.75" customHeight="1" s="49"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</row>
    <row r="734" ht="15.75" customHeight="1" s="49"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</row>
    <row r="735" ht="15.75" customHeight="1" s="49"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</row>
    <row r="736" ht="15.75" customHeight="1" s="49"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</row>
    <row r="737" ht="15.75" customHeight="1" s="49"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</row>
    <row r="738" ht="15.75" customHeight="1" s="49"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</row>
    <row r="739" ht="15.75" customHeight="1" s="49"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</row>
    <row r="740" ht="15.75" customHeight="1" s="49"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</row>
    <row r="741" ht="15.75" customHeight="1" s="49"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</row>
    <row r="742" ht="15.75" customHeight="1" s="49"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</row>
    <row r="743" ht="15.75" customHeight="1" s="49"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</row>
    <row r="744" ht="15.75" customHeight="1" s="49"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</row>
    <row r="745" ht="15.75" customHeight="1" s="49"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</row>
    <row r="746" ht="15.75" customHeight="1" s="49"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</row>
    <row r="747" ht="15.75" customHeight="1" s="49"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</row>
    <row r="748" ht="15.75" customHeight="1" s="49"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</row>
    <row r="749" ht="15.75" customHeight="1" s="49"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</row>
    <row r="750" ht="15.75" customHeight="1" s="49"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</row>
    <row r="751" ht="15.75" customHeight="1" s="49"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</row>
    <row r="752" ht="15.75" customHeight="1" s="49"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</row>
    <row r="753" ht="15.75" customHeight="1" s="49"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</row>
    <row r="754" ht="15.75" customHeight="1" s="49"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</row>
    <row r="755" ht="15.75" customHeight="1" s="49"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</row>
    <row r="756" ht="15.75" customHeight="1" s="49"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</row>
    <row r="757" ht="15.75" customHeight="1" s="49"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</row>
    <row r="758" ht="15.75" customHeight="1" s="49"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</row>
    <row r="759" ht="15.75" customHeight="1" s="49"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</row>
    <row r="760" ht="15.75" customHeight="1" s="49"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</row>
    <row r="761" ht="15.75" customHeight="1" s="49"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</row>
    <row r="762" ht="15.75" customHeight="1" s="49"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</row>
    <row r="763" ht="15.75" customHeight="1" s="49"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</row>
    <row r="764" ht="15.75" customHeight="1" s="49"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</row>
    <row r="765" ht="15.75" customHeight="1" s="49"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</row>
    <row r="766" ht="15.75" customHeight="1" s="49"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</row>
    <row r="767" ht="15.75" customHeight="1" s="49"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</row>
    <row r="768" ht="15.75" customHeight="1" s="49"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</row>
    <row r="769" ht="15.75" customHeight="1" s="49"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</row>
    <row r="770" ht="15.75" customHeight="1" s="49"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</row>
    <row r="771" ht="15.75" customHeight="1" s="49"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</row>
    <row r="772" ht="15.75" customHeight="1" s="49"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</row>
    <row r="773" ht="15.75" customHeight="1" s="49"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</row>
    <row r="774" ht="15.75" customHeight="1" s="49"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</row>
    <row r="775" ht="15.75" customHeight="1" s="49"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</row>
    <row r="776" ht="15.75" customHeight="1" s="49"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</row>
    <row r="777" ht="15.75" customHeight="1" s="49"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</row>
    <row r="778" ht="15.75" customHeight="1" s="49"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</row>
    <row r="779" ht="15.75" customHeight="1" s="49"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</row>
    <row r="780" ht="15.75" customHeight="1" s="49"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</row>
    <row r="781" ht="15.75" customHeight="1" s="49"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</row>
    <row r="782" ht="15.75" customHeight="1" s="49"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</row>
    <row r="783" ht="15.75" customHeight="1" s="49"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</row>
    <row r="784" ht="15.75" customHeight="1" s="49"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</row>
    <row r="785" ht="15.75" customHeight="1" s="49"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</row>
    <row r="786" ht="15.75" customHeight="1" s="49"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</row>
    <row r="787" ht="15.75" customHeight="1" s="49"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</row>
    <row r="788" ht="15.75" customHeight="1" s="49"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</row>
    <row r="789" ht="15.75" customHeight="1" s="49"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</row>
    <row r="790" ht="15.75" customHeight="1" s="49"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</row>
    <row r="791" ht="15.75" customHeight="1" s="49"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</row>
    <row r="792" ht="15.75" customHeight="1" s="49"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</row>
    <row r="793" ht="15.75" customHeight="1" s="49"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</row>
    <row r="794" ht="15.75" customHeight="1" s="49"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</row>
    <row r="795" ht="15.75" customHeight="1" s="49"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</row>
    <row r="796" ht="15.75" customHeight="1" s="49"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</row>
    <row r="797" ht="15.75" customHeight="1" s="49"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</row>
    <row r="798" ht="15.75" customHeight="1" s="49"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</row>
    <row r="799" ht="15.75" customHeight="1" s="49"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</row>
    <row r="800" ht="15.75" customHeight="1" s="49"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</row>
    <row r="801" ht="15.75" customHeight="1" s="49"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</row>
    <row r="802" ht="15.75" customHeight="1" s="49"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</row>
    <row r="803" ht="15.75" customHeight="1" s="49"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</row>
    <row r="804" ht="15.75" customHeight="1" s="49"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</row>
    <row r="805" ht="15.75" customHeight="1" s="49"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</row>
    <row r="806" ht="15.75" customHeight="1" s="49"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</row>
    <row r="807" ht="15.75" customHeight="1" s="49"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</row>
    <row r="808" ht="15.75" customHeight="1" s="49"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</row>
    <row r="809" ht="15.75" customHeight="1" s="49"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</row>
    <row r="810" ht="15.75" customHeight="1" s="49"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</row>
    <row r="811" ht="15.75" customHeight="1" s="49"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</row>
    <row r="812" ht="15.75" customHeight="1" s="49"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</row>
    <row r="813" ht="15.75" customHeight="1" s="49"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</row>
    <row r="814" ht="15.75" customHeight="1" s="49"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</row>
    <row r="815" ht="15.75" customHeight="1" s="49"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</row>
    <row r="816" ht="15.75" customHeight="1" s="49"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</row>
    <row r="817" ht="15.75" customHeight="1" s="49"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</row>
    <row r="818" ht="15.75" customHeight="1" s="49"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</row>
    <row r="819" ht="15.75" customHeight="1" s="49"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</row>
    <row r="820" ht="15.75" customHeight="1" s="49"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</row>
    <row r="821" ht="15.75" customHeight="1" s="49"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</row>
    <row r="822" ht="15.75" customHeight="1" s="49"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</row>
    <row r="823" ht="15.75" customHeight="1" s="49"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</row>
    <row r="824" ht="15.75" customHeight="1" s="49"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</row>
    <row r="825" ht="15.75" customHeight="1" s="49"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</row>
    <row r="826" ht="15.75" customHeight="1" s="49"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</row>
    <row r="827" ht="15.75" customHeight="1" s="49"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</row>
    <row r="828" ht="15.75" customHeight="1" s="49"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</row>
    <row r="829" ht="15.75" customHeight="1" s="49"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</row>
    <row r="830" ht="15.75" customHeight="1" s="49"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</row>
    <row r="831" ht="15.75" customHeight="1" s="49"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</row>
    <row r="832" ht="15.75" customHeight="1" s="49"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</row>
    <row r="833" ht="15.75" customHeight="1" s="49"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</row>
    <row r="834" ht="15.75" customHeight="1" s="49"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</row>
    <row r="835" ht="15.75" customHeight="1" s="49"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</row>
    <row r="836" ht="15.75" customHeight="1" s="49"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</row>
    <row r="837" ht="15.75" customHeight="1" s="49"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</row>
    <row r="838" ht="15.75" customHeight="1" s="49"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</row>
    <row r="839" ht="15.75" customHeight="1" s="49"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</row>
    <row r="840" ht="15.75" customHeight="1" s="49"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</row>
    <row r="841" ht="15.75" customHeight="1" s="49"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</row>
    <row r="842" ht="15.75" customHeight="1" s="49"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</row>
    <row r="843" ht="15.75" customHeight="1" s="49"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</row>
    <row r="844" ht="15.75" customHeight="1" s="49"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</row>
    <row r="845" ht="15.75" customHeight="1" s="49"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</row>
    <row r="846" ht="15.75" customHeight="1" s="49"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</row>
    <row r="847" ht="15.75" customHeight="1" s="49"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</row>
    <row r="848" ht="15.75" customHeight="1" s="49"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</row>
    <row r="849" ht="15.75" customHeight="1" s="49"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</row>
    <row r="850" ht="15.75" customHeight="1" s="49"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</row>
    <row r="851" ht="15.75" customHeight="1" s="49"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</row>
    <row r="852" ht="15.75" customHeight="1" s="49"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</row>
    <row r="853" ht="15.75" customHeight="1" s="49"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</row>
    <row r="854" ht="15.75" customHeight="1" s="49"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</row>
    <row r="855" ht="15.75" customHeight="1" s="49"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</row>
    <row r="856" ht="15.75" customHeight="1" s="49"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</row>
    <row r="857" ht="15.75" customHeight="1" s="49"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</row>
    <row r="858" ht="15.75" customHeight="1" s="49"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</row>
    <row r="859" ht="15.75" customHeight="1" s="49"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</row>
    <row r="860" ht="15.75" customHeight="1" s="49"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</row>
    <row r="861" ht="15.75" customHeight="1" s="49"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</row>
    <row r="862" ht="15.75" customHeight="1" s="49"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</row>
    <row r="863" ht="15.75" customHeight="1" s="49"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</row>
    <row r="864" ht="15.75" customHeight="1" s="49"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</row>
    <row r="865" ht="15.75" customHeight="1" s="49"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</row>
    <row r="866" ht="15.75" customHeight="1" s="49"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</row>
    <row r="867" ht="15.75" customHeight="1" s="49"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</row>
    <row r="868" ht="15.75" customHeight="1" s="49"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</row>
    <row r="869" ht="15.75" customHeight="1" s="49"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</row>
    <row r="870" ht="15.75" customHeight="1" s="49"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</row>
    <row r="871" ht="15.75" customHeight="1" s="49"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</row>
    <row r="872" ht="15.75" customHeight="1" s="49"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</row>
    <row r="873" ht="15.75" customHeight="1" s="49"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</row>
    <row r="874" ht="15.75" customHeight="1" s="49"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</row>
    <row r="875" ht="15.75" customHeight="1" s="49"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</row>
    <row r="876" ht="15.75" customHeight="1" s="49"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</row>
    <row r="877" ht="15.75" customHeight="1" s="49"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</row>
    <row r="878" ht="15.75" customHeight="1" s="49"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</row>
    <row r="879" ht="15.75" customHeight="1" s="49"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</row>
    <row r="880" ht="15.75" customHeight="1" s="49"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</row>
    <row r="881" ht="15.75" customHeight="1" s="49"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</row>
    <row r="882" ht="15.75" customHeight="1" s="49"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</row>
    <row r="883" ht="15.75" customHeight="1" s="49"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</row>
    <row r="884" ht="15.75" customHeight="1" s="49"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</row>
    <row r="885" ht="15.75" customHeight="1" s="49"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</row>
    <row r="886" ht="15.75" customHeight="1" s="49"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</row>
    <row r="887" ht="15.75" customHeight="1" s="49"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</row>
    <row r="888" ht="15.75" customHeight="1" s="49"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</row>
    <row r="889" ht="15.75" customHeight="1" s="49"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</row>
    <row r="890" ht="15.75" customHeight="1" s="49"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</row>
    <row r="891" ht="15.75" customHeight="1" s="49"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</row>
    <row r="892" ht="15.75" customHeight="1" s="49"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</row>
    <row r="893" ht="15.75" customHeight="1" s="49"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</row>
    <row r="894" ht="15.75" customHeight="1" s="49"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</row>
    <row r="895" ht="15.75" customHeight="1" s="49"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</row>
    <row r="896" ht="15.75" customHeight="1" s="49"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</row>
    <row r="897" ht="15.75" customHeight="1" s="49"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</row>
    <row r="898" ht="15.75" customHeight="1" s="49"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</row>
    <row r="899" ht="15.75" customHeight="1" s="49"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</row>
    <row r="900" ht="15.75" customHeight="1" s="49"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</row>
    <row r="901" ht="15.75" customHeight="1" s="49"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</row>
    <row r="902" ht="15.75" customHeight="1" s="49"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</row>
    <row r="903" ht="15.75" customHeight="1" s="49"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</row>
    <row r="904" ht="15.75" customHeight="1" s="49"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</row>
    <row r="905" ht="15.75" customHeight="1" s="49"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</row>
    <row r="906" ht="15.75" customHeight="1" s="49"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</row>
    <row r="907" ht="15.75" customHeight="1" s="49"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</row>
    <row r="908" ht="15.75" customHeight="1" s="49"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</row>
    <row r="909" ht="15.75" customHeight="1" s="49"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</row>
    <row r="910" ht="15.75" customHeight="1" s="49"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</row>
    <row r="911" ht="15.75" customHeight="1" s="49"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</row>
    <row r="912" ht="15.75" customHeight="1" s="49"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</row>
    <row r="913" ht="15.75" customHeight="1" s="49"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</row>
    <row r="914" ht="15.75" customHeight="1" s="49"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</row>
    <row r="915" ht="15.75" customHeight="1" s="49"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</row>
    <row r="916" ht="15.75" customHeight="1" s="49"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</row>
    <row r="917" ht="15.75" customHeight="1" s="49"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</row>
    <row r="918" ht="15.75" customHeight="1" s="49"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</row>
    <row r="919" ht="15.75" customHeight="1" s="49"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</row>
    <row r="920" ht="15.75" customHeight="1" s="49"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</row>
    <row r="921" ht="15.75" customHeight="1" s="49"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</row>
    <row r="922" ht="15.75" customHeight="1" s="49"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</row>
    <row r="923" ht="15.75" customHeight="1" s="49"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</row>
    <row r="924" ht="15.75" customHeight="1" s="49"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</row>
    <row r="925" ht="15.75" customHeight="1" s="49"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</row>
    <row r="926" ht="15.75" customHeight="1" s="49"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</row>
    <row r="927" ht="15.75" customHeight="1" s="49"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</row>
    <row r="928" ht="15.75" customHeight="1" s="49"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</row>
    <row r="929" ht="15.75" customHeight="1" s="49"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</row>
    <row r="930" ht="15.75" customHeight="1" s="49"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</row>
    <row r="931" ht="15.75" customHeight="1" s="49"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</row>
    <row r="932" ht="15.75" customHeight="1" s="49"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</row>
    <row r="933" ht="15.75" customHeight="1" s="49"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</row>
    <row r="934" ht="15.75" customHeight="1" s="49"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</row>
    <row r="935" ht="15.75" customHeight="1" s="49"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</row>
    <row r="936" ht="15.75" customHeight="1" s="49"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</row>
    <row r="937" ht="15.75" customHeight="1" s="49"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</row>
    <row r="938" ht="15.75" customHeight="1" s="49"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</row>
    <row r="939" ht="15.75" customHeight="1" s="49"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</row>
    <row r="940" ht="15.75" customHeight="1" s="49"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</row>
    <row r="941" ht="15.75" customHeight="1" s="49"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</row>
    <row r="942" ht="15.75" customHeight="1" s="49"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</row>
    <row r="943" ht="15.75" customHeight="1" s="49"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</row>
    <row r="944" ht="15.75" customHeight="1" s="49"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</row>
    <row r="945" ht="15.75" customHeight="1" s="49"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</row>
    <row r="946" ht="15.75" customHeight="1" s="49"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</row>
    <row r="947" ht="15.75" customHeight="1" s="49"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</row>
    <row r="948" ht="15.75" customHeight="1" s="49"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</row>
    <row r="949" ht="15.75" customHeight="1" s="49"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</row>
    <row r="950" ht="15.75" customHeight="1" s="49"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</row>
    <row r="951" ht="15.75" customHeight="1" s="49"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</row>
    <row r="952" ht="15.75" customHeight="1" s="49"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</row>
    <row r="953" ht="15.75" customHeight="1" s="49"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</row>
    <row r="954" ht="15.75" customHeight="1" s="49"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</row>
    <row r="955" ht="15.75" customHeight="1" s="49"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</row>
    <row r="956" ht="15.75" customHeight="1" s="49"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</row>
    <row r="957" ht="15.75" customHeight="1" s="49"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</row>
    <row r="958" ht="15.75" customHeight="1" s="49"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</row>
    <row r="959" ht="15.75" customHeight="1" s="49"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</row>
    <row r="960" ht="15.75" customHeight="1" s="49"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</row>
    <row r="961" ht="15.75" customHeight="1" s="49"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</row>
    <row r="962" ht="15.75" customHeight="1" s="49"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</row>
    <row r="963" ht="15.75" customHeight="1" s="49"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</row>
    <row r="964" ht="15.75" customHeight="1" s="49"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</row>
    <row r="965" ht="15.75" customHeight="1" s="49"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</row>
    <row r="966" ht="15.75" customHeight="1" s="49"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</row>
    <row r="967" ht="15.75" customHeight="1" s="49"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</row>
    <row r="968" ht="15.75" customHeight="1" s="49"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</row>
    <row r="969" ht="15.75" customHeight="1" s="49"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</row>
    <row r="970" ht="15.75" customHeight="1" s="49"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</row>
    <row r="971" ht="15.75" customHeight="1" s="49"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</row>
    <row r="972" ht="15.75" customHeight="1" s="49"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</row>
    <row r="973" ht="15.75" customHeight="1" s="49"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</row>
    <row r="974" ht="15.75" customHeight="1" s="49"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</row>
    <row r="975" ht="15.75" customHeight="1" s="49"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</row>
    <row r="976" ht="15.75" customHeight="1" s="49"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</row>
    <row r="977" ht="15.75" customHeight="1" s="49"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</row>
    <row r="978" ht="15.75" customHeight="1" s="49"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</row>
    <row r="979" ht="15.75" customHeight="1" s="49"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</row>
    <row r="980" ht="15.75" customHeight="1" s="49"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</row>
    <row r="981" ht="15.75" customHeight="1" s="49"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</row>
    <row r="982" ht="15.75" customHeight="1" s="49"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</row>
    <row r="983" ht="15.75" customHeight="1" s="49"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</row>
    <row r="984" ht="15.75" customHeight="1" s="49"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</row>
    <row r="985" ht="15.75" customHeight="1" s="49"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</row>
    <row r="986" ht="15.75" customHeight="1" s="49"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</row>
    <row r="987" ht="15.75" customHeight="1" s="49"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</row>
    <row r="988" ht="15.75" customHeight="1" s="49"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</row>
    <row r="989" ht="15.75" customHeight="1" s="49"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</row>
    <row r="990" ht="15.75" customHeight="1" s="49"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</row>
    <row r="991" ht="15.75" customHeight="1" s="49"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</row>
  </sheetData>
  <autoFilter ref="E1:T313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C24" sqref="C24"/>
    </sheetView>
  </sheetViews>
  <sheetFormatPr baseColWidth="10" defaultColWidth="14.42578125" defaultRowHeight="15" customHeight="1"/>
  <cols>
    <col width="11.5703125" customWidth="1" style="36" min="1" max="2"/>
    <col width="16.140625" customWidth="1" style="36" min="3" max="3"/>
    <col width="12" customWidth="1" style="36" min="4" max="4"/>
    <col hidden="1" width="4.85546875" customWidth="1" style="36" min="5" max="5"/>
    <col width="10.5703125" customWidth="1" style="36" min="6" max="6"/>
    <col width="10.7109375" customWidth="1" style="36" min="7" max="11"/>
    <col width="5.42578125" customWidth="1" style="36" min="12" max="12"/>
    <col width="10.7109375" customWidth="1" style="36" min="13" max="26"/>
    <col width="14.42578125" customWidth="1" style="36" min="27" max="16384"/>
  </cols>
  <sheetData>
    <row r="1" ht="14.25" customHeight="1" s="4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W1" s="1" t="n"/>
    </row>
    <row r="2" ht="14.25" customHeight="1" s="49">
      <c r="A2" s="1" t="n"/>
      <c r="B2" s="29" t="n"/>
      <c r="C2" s="29" t="n"/>
      <c r="D2" s="29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Z2" s="1" t="n"/>
    </row>
    <row r="3" ht="14.25" customHeight="1" s="49">
      <c r="A3" s="1" t="n"/>
      <c r="B3" s="29" t="n"/>
      <c r="C3" s="29" t="n"/>
      <c r="D3" s="29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Z3" s="1" t="n"/>
    </row>
    <row r="4" ht="14.25" customHeight="1" s="49">
      <c r="A4" s="1" t="n"/>
      <c r="B4" s="29" t="n"/>
      <c r="C4" s="29" t="n"/>
      <c r="D4" s="29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Z4" s="1" t="n"/>
    </row>
    <row r="5" ht="14.25" customHeight="1" s="49">
      <c r="A5" s="1" t="n"/>
      <c r="B5" s="1" t="n"/>
      <c r="C5" s="1" t="n"/>
      <c r="D5" s="29" t="n"/>
      <c r="E5" s="29" t="n"/>
      <c r="F5" s="29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37" t="n"/>
      <c r="Q5" s="1" t="n"/>
      <c r="R5" s="1" t="n"/>
      <c r="Z5" s="1" t="n"/>
    </row>
    <row r="6" ht="14.25" customHeight="1" s="49">
      <c r="A6" s="1" t="n"/>
      <c r="B6" s="88" t="inlineStr">
        <is>
          <t>Casos</t>
        </is>
      </c>
      <c r="C6" s="69" t="inlineStr">
        <is>
          <t>OK</t>
        </is>
      </c>
      <c r="D6" s="42">
        <f>COUNTIF('Plan de prueba'!Q2:Q323,Control!C6)</f>
        <v/>
      </c>
      <c r="E6" s="40" t="n"/>
      <c r="F6" s="40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37" t="n"/>
      <c r="Q6" s="1" t="n"/>
      <c r="R6" s="1" t="n"/>
      <c r="Z6" s="1" t="n"/>
    </row>
    <row r="7" ht="14.25" customHeight="1" s="49">
      <c r="A7" s="1" t="n"/>
      <c r="B7" s="89" t="n"/>
      <c r="C7" s="69" t="inlineStr">
        <is>
          <t>NOK</t>
        </is>
      </c>
      <c r="D7" s="42">
        <f>COUNTIF('Plan de prueba'!Q2:Q323,Control!C7)</f>
        <v/>
      </c>
      <c r="E7" s="40" t="n"/>
      <c r="F7" s="40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Z7" s="1" t="n"/>
    </row>
    <row r="8" ht="14.25" customHeight="1" s="49">
      <c r="A8" s="1" t="n"/>
      <c r="B8" s="89" t="n"/>
      <c r="C8" s="69" t="inlineStr">
        <is>
          <t>No ejecutado</t>
        </is>
      </c>
      <c r="D8" s="42">
        <f>COUNTIF('Plan de prueba'!Q2:Q323,C8)</f>
        <v/>
      </c>
      <c r="E8" s="40" t="n"/>
      <c r="F8" s="40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Z8" s="1" t="n"/>
    </row>
    <row r="9" ht="14.25" customHeight="1" s="49">
      <c r="A9" s="1" t="n"/>
      <c r="B9" s="89" t="n"/>
      <c r="C9" s="69" t="inlineStr">
        <is>
          <t>Bloqueado</t>
        </is>
      </c>
      <c r="D9" s="42">
        <f>COUNTIF('Plan de prueba'!Q2:Q323,C9)</f>
        <v/>
      </c>
      <c r="E9" s="40" t="n"/>
      <c r="F9" s="40" t="n"/>
      <c r="G9" s="1" t="n"/>
      <c r="H9" s="1" t="n"/>
      <c r="I9" s="1" t="n"/>
      <c r="J9" s="1" t="n"/>
      <c r="K9" s="1" t="n"/>
      <c r="L9" s="1" t="n"/>
      <c r="M9" s="1" t="n"/>
      <c r="N9" s="1" t="n"/>
      <c r="O9" s="37" t="n"/>
      <c r="P9" s="1" t="n"/>
      <c r="Q9" s="1" t="n"/>
      <c r="R9" s="1" t="n"/>
      <c r="Z9" s="1" t="n"/>
    </row>
    <row r="10" ht="14.25" customHeight="1" s="49">
      <c r="A10" s="1" t="n"/>
      <c r="B10" s="90" t="n"/>
      <c r="C10" s="69" t="inlineStr">
        <is>
          <t>Obsoleto</t>
        </is>
      </c>
      <c r="D10" s="42">
        <f>COUNTIF('Plan de prueba'!Q2:Q323,C10)</f>
        <v/>
      </c>
      <c r="E10" s="40" t="n"/>
      <c r="F10" s="40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Z10" s="1" t="n"/>
    </row>
    <row r="11" ht="14.25" customHeight="1" s="49">
      <c r="A11" s="1" t="n"/>
      <c r="B11" s="30" t="n"/>
      <c r="C11" s="30" t="n"/>
      <c r="D11" s="40" t="n"/>
      <c r="E11" s="41" t="n"/>
      <c r="F11" s="4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Z11" s="1" t="n"/>
    </row>
    <row r="12" ht="14.25" customHeight="1" s="49">
      <c r="A12" s="1" t="n"/>
      <c r="B12" s="91" t="n"/>
      <c r="D12" s="38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Z12" s="1" t="n"/>
    </row>
    <row r="13" ht="14.25" customHeight="1" s="49">
      <c r="A13" s="1" t="n"/>
      <c r="B13" s="92" t="inlineStr">
        <is>
          <t>Total de casos</t>
        </is>
      </c>
      <c r="C13" s="93" t="n"/>
      <c r="D13" s="39">
        <f>COUNTIF('Plan de prueba'!E2:E223,"*")</f>
        <v/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Z13" s="1" t="n"/>
    </row>
    <row r="14" ht="14.25" customHeight="1" s="49">
      <c r="A14" s="1" t="n"/>
      <c r="B14" s="94" t="inlineStr">
        <is>
          <t>% de  avance</t>
        </is>
      </c>
      <c r="C14" s="95" t="n"/>
      <c r="D14" s="96">
        <f>SUM(D6+D7+D9+D10)/D13</f>
        <v/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Z14" s="1" t="n"/>
    </row>
    <row r="15" ht="14.25" customHeight="1" s="49">
      <c r="A15" s="1" t="n"/>
      <c r="B15" s="97" t="n"/>
      <c r="C15" s="98" t="n"/>
      <c r="D15" s="90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Z15" s="1" t="n"/>
    </row>
    <row r="16" ht="14.25" customHeight="1" s="49">
      <c r="A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Z16" s="1" t="n"/>
    </row>
    <row r="17" ht="14.25" customHeight="1" s="49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49">
      <c r="A18" s="1" t="n"/>
      <c r="B18" s="99" t="inlineStr">
        <is>
          <t>Total casos que ejecuto cada integrante del equipo</t>
        </is>
      </c>
      <c r="C18" s="100" t="n"/>
      <c r="D18" s="32" t="inlineStr">
        <is>
          <t>Alumno 1</t>
        </is>
      </c>
      <c r="E18" s="93" t="n"/>
      <c r="F18" s="39">
        <f>COUNTIF('Plan de prueba'!$S$2:$S$74,D18)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4.25" customHeight="1" s="49">
      <c r="A19" s="1" t="n"/>
      <c r="B19" s="101" t="n"/>
      <c r="D19" s="32" t="inlineStr">
        <is>
          <t>Alumno 2</t>
        </is>
      </c>
      <c r="E19" s="93" t="n"/>
      <c r="F19" s="39">
        <f>COUNTIF('Plan de prueba'!$S$2:$S$74,D19)</f>
        <v/>
      </c>
      <c r="G19" s="35" t="n"/>
      <c r="H19" s="35" t="n"/>
      <c r="I19" s="35" t="n"/>
      <c r="J19" s="35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4.25" customHeight="1" s="49">
      <c r="A20" s="1" t="n"/>
      <c r="B20" s="101" t="n"/>
      <c r="D20" s="32" t="inlineStr">
        <is>
          <t>Alumno 3</t>
        </is>
      </c>
      <c r="E20" s="93" t="n"/>
      <c r="F20" s="39">
        <f>COUNTIF('Plan de prueba'!$S$2:$S$74,D20)</f>
        <v/>
      </c>
      <c r="G20" s="35" t="n"/>
      <c r="H20" s="35" t="n"/>
      <c r="I20" s="35" t="n"/>
      <c r="J20" s="35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4.25" customHeight="1" s="49">
      <c r="A21" s="1" t="n"/>
      <c r="B21" s="97" t="n"/>
      <c r="C21" s="102" t="n"/>
      <c r="D21" s="32" t="n"/>
      <c r="E21" s="93" t="n"/>
      <c r="F21" s="32" t="n"/>
      <c r="G21" s="35" t="n"/>
      <c r="H21" s="35" t="n"/>
      <c r="I21" s="35" t="n"/>
      <c r="J21" s="35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4.25" customHeight="1" s="49">
      <c r="A22" s="1" t="n"/>
      <c r="B22" s="1" t="n"/>
      <c r="C22" s="1" t="n"/>
      <c r="D22" s="1" t="n"/>
      <c r="H22" s="35" t="n"/>
      <c r="I22" s="35" t="n"/>
      <c r="J22" s="35" t="n"/>
      <c r="K22" s="35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49">
      <c r="A23" s="1" t="n"/>
      <c r="B23" s="1" t="n"/>
      <c r="C23" s="41" t="n"/>
      <c r="D23" s="61" t="inlineStr">
        <is>
          <t>Total Casos</t>
        </is>
      </c>
      <c r="E23" s="103" t="n"/>
      <c r="F23" s="43">
        <f>SUM(F18:F21)</f>
        <v/>
      </c>
      <c r="H23" s="35" t="n"/>
      <c r="I23" s="35" t="n"/>
      <c r="J23" s="35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49">
      <c r="A24" s="1" t="n"/>
      <c r="B24" s="1" t="n"/>
      <c r="C24" s="1" t="n"/>
      <c r="D24" s="1" t="n"/>
      <c r="E24" s="1" t="n"/>
      <c r="F24" s="1" t="n"/>
      <c r="G24" s="1" t="n"/>
      <c r="H24" s="35" t="n"/>
      <c r="I24" s="35" t="n"/>
      <c r="J24" s="35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4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49">
      <c r="A26" s="1" t="n"/>
      <c r="B26" s="1" t="n"/>
      <c r="C26" s="44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4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4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4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4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4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4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4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4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4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4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4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4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4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4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4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4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4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4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4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4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4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4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4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4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4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4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4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4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4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4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4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4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4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4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4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4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4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4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4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4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4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4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4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4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4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4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4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4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4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4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4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4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4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4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4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4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4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4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4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4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4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4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4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4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4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4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4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4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4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4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4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4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4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4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4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4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4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4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4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4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4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4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4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4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4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4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4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4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4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4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4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4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4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4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4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4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4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4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4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4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4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4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4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4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4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4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4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4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4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4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4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4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4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4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4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4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4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4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4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4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4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4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4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4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4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4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4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4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4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4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4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4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4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4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4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4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4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4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4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4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4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4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4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4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4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4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4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4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4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4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4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4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4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4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4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4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4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4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4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4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4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4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4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4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4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4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4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4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4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4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4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4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4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4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4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4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4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4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4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4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4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4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4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4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4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4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4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4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4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4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4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4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4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4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4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</sheetData>
  <mergeCells count="11">
    <mergeCell ref="B13:C13"/>
    <mergeCell ref="D20:E20"/>
    <mergeCell ref="B18:C21"/>
    <mergeCell ref="D19:E19"/>
    <mergeCell ref="D23:E23"/>
    <mergeCell ref="B12:C12"/>
    <mergeCell ref="B6:B10"/>
    <mergeCell ref="B14:C15"/>
    <mergeCell ref="D18:E18"/>
    <mergeCell ref="D14:D15"/>
    <mergeCell ref="D21:E21"/>
  </mergeCell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10" defaultColWidth="14.42578125" defaultRowHeight="15" customHeight="1"/>
  <sheetData>
    <row r="1">
      <c r="A1" s="10" t="inlineStr">
        <is>
          <t>Funcional</t>
        </is>
      </c>
      <c r="B1" s="10" t="inlineStr">
        <is>
          <t>Caja Negra</t>
        </is>
      </c>
    </row>
    <row r="2">
      <c r="A2" s="10" t="inlineStr">
        <is>
          <t>No Funcional</t>
        </is>
      </c>
      <c r="B2" s="10" t="inlineStr">
        <is>
          <t>Caja Blanca</t>
        </is>
      </c>
    </row>
    <row r="3">
      <c r="A3" s="10" t="inlineStr">
        <is>
          <t>Completar</t>
        </is>
      </c>
      <c r="B3" s="10" t="inlineStr">
        <is>
          <t>Hibrido</t>
        </is>
      </c>
    </row>
    <row r="9">
      <c r="F9" s="10" t="n"/>
      <c r="H9" s="10" t="n"/>
    </row>
    <row r="10">
      <c r="F10" s="10" t="n"/>
      <c r="H10" s="10" t="n"/>
    </row>
    <row r="11">
      <c r="F11" s="10" t="n"/>
      <c r="H11" s="10" t="n"/>
    </row>
    <row r="12">
      <c r="F12" s="10" t="n"/>
      <c r="H12" s="10" t="n"/>
    </row>
    <row r="13">
      <c r="F13" s="10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14.42578125" defaultRowHeight="15" customHeight="1"/>
  <cols>
    <col width="12.28515625" customWidth="1" style="49" min="1" max="1"/>
    <col width="12.42578125" customWidth="1" style="49" min="2" max="2"/>
    <col width="6.28515625" customWidth="1" style="49" min="3" max="3"/>
    <col width="10.7109375" customWidth="1" style="49" min="4" max="6"/>
  </cols>
  <sheetData>
    <row r="1" ht="14.25" customHeight="1" s="49">
      <c r="A1" s="10" t="inlineStr">
        <is>
          <t>Funcional</t>
        </is>
      </c>
      <c r="B1" s="10" t="inlineStr">
        <is>
          <t>OK</t>
        </is>
      </c>
      <c r="C1" s="10" t="inlineStr">
        <is>
          <t>Baja</t>
        </is>
      </c>
      <c r="D1" s="10" t="inlineStr">
        <is>
          <t>SI</t>
        </is>
      </c>
    </row>
    <row r="2" ht="14.25" customHeight="1" s="49">
      <c r="A2" s="10" t="inlineStr">
        <is>
          <t>No Funcional</t>
        </is>
      </c>
      <c r="B2" s="10" t="inlineStr">
        <is>
          <t>NOK</t>
        </is>
      </c>
      <c r="C2" s="10" t="inlineStr">
        <is>
          <t>Media</t>
        </is>
      </c>
      <c r="D2" s="10" t="inlineStr">
        <is>
          <t>NO</t>
        </is>
      </c>
    </row>
    <row r="3" ht="14.25" customHeight="1" s="49">
      <c r="A3" s="10" t="inlineStr">
        <is>
          <t>UAT</t>
        </is>
      </c>
      <c r="B3" s="10" t="inlineStr">
        <is>
          <t>No ejecutado</t>
        </is>
      </c>
      <c r="C3" s="10" t="inlineStr">
        <is>
          <t>Alta</t>
        </is>
      </c>
    </row>
    <row r="4" ht="14.25" customHeight="1" s="49">
      <c r="A4" s="10" t="inlineStr">
        <is>
          <t>Código</t>
        </is>
      </c>
      <c r="B4" s="10" t="inlineStr">
        <is>
          <t>Bloqueado</t>
        </is>
      </c>
    </row>
    <row r="5" ht="14.25" customHeight="1" s="49">
      <c r="A5" s="10" t="inlineStr">
        <is>
          <t>End to End</t>
        </is>
      </c>
      <c r="B5" s="10" t="inlineStr">
        <is>
          <t>Obsoleto</t>
        </is>
      </c>
    </row>
    <row r="6" ht="14.25" customHeight="1" s="49">
      <c r="A6" s="10" t="inlineStr">
        <is>
          <t>Stress</t>
        </is>
      </c>
    </row>
    <row r="7" ht="14.25" customHeight="1" s="49">
      <c r="A7" s="10" t="inlineStr">
        <is>
          <t>Rendimiento</t>
        </is>
      </c>
    </row>
    <row r="8" ht="14.25" customHeight="1" s="49">
      <c r="A8" s="10" t="inlineStr">
        <is>
          <t>Carga</t>
        </is>
      </c>
    </row>
    <row r="9" ht="14.25" customHeight="1" s="49"/>
    <row r="10" ht="14.25" customHeight="1" s="49"/>
    <row r="11" ht="14.25" customHeight="1" s="49"/>
    <row r="12" ht="14.25" customHeight="1" s="49"/>
    <row r="13" ht="14.25" customHeight="1" s="49"/>
    <row r="14" ht="14.25" customHeight="1" s="49"/>
    <row r="15" ht="14.25" customHeight="1" s="49"/>
    <row r="16" ht="14.25" customHeight="1" s="49"/>
    <row r="17" ht="14.25" customHeight="1" s="49"/>
    <row r="18" ht="14.25" customHeight="1" s="49"/>
    <row r="19" ht="14.25" customHeight="1" s="49"/>
    <row r="20" ht="14.25" customHeight="1" s="49"/>
    <row r="21" ht="14.25" customHeight="1" s="49"/>
    <row r="22" ht="14.25" customHeight="1" s="49"/>
    <row r="23" ht="14.25" customHeight="1" s="49"/>
    <row r="24" ht="14.25" customHeight="1" s="49"/>
    <row r="25" ht="14.25" customHeight="1" s="49"/>
    <row r="26" ht="14.25" customHeight="1" s="49"/>
    <row r="27" ht="14.25" customHeight="1" s="49"/>
    <row r="28" ht="14.25" customHeight="1" s="49"/>
    <row r="29" ht="14.25" customHeight="1" s="49"/>
    <row r="30" ht="14.25" customHeight="1" s="49"/>
    <row r="31" ht="14.25" customHeight="1" s="49"/>
    <row r="32" ht="14.25" customHeight="1" s="49"/>
    <row r="33" ht="14.25" customHeight="1" s="49"/>
    <row r="34" ht="14.25" customHeight="1" s="49"/>
    <row r="35" ht="14.25" customHeight="1" s="49"/>
    <row r="36" ht="14.25" customHeight="1" s="49"/>
    <row r="37" ht="14.25" customHeight="1" s="49"/>
    <row r="38" ht="14.25" customHeight="1" s="49"/>
    <row r="39" ht="14.25" customHeight="1" s="49"/>
    <row r="40" ht="14.25" customHeight="1" s="49"/>
    <row r="41" ht="14.25" customHeight="1" s="49"/>
    <row r="42" ht="14.25" customHeight="1" s="49"/>
    <row r="43" ht="14.25" customHeight="1" s="49"/>
    <row r="44" ht="14.25" customHeight="1" s="49"/>
    <row r="45" ht="14.25" customHeight="1" s="49"/>
    <row r="46" ht="14.25" customHeight="1" s="49"/>
    <row r="47" ht="14.25" customHeight="1" s="49"/>
    <row r="48" ht="14.25" customHeight="1" s="49"/>
    <row r="49" ht="14.25" customHeight="1" s="49"/>
    <row r="50" ht="14.25" customHeight="1" s="49"/>
    <row r="51" ht="14.25" customHeight="1" s="49"/>
    <row r="52" ht="14.25" customHeight="1" s="49"/>
    <row r="53" ht="14.25" customHeight="1" s="49"/>
    <row r="54" ht="14.25" customHeight="1" s="49"/>
    <row r="55" ht="14.25" customHeight="1" s="49"/>
    <row r="56" ht="14.25" customHeight="1" s="49"/>
    <row r="57" ht="14.25" customHeight="1" s="49"/>
    <row r="58" ht="14.25" customHeight="1" s="49"/>
    <row r="59" ht="14.25" customHeight="1" s="49"/>
    <row r="60" ht="14.25" customHeight="1" s="49"/>
    <row r="61" ht="14.25" customHeight="1" s="49"/>
    <row r="62" ht="14.25" customHeight="1" s="49"/>
    <row r="63" ht="14.25" customHeight="1" s="49"/>
    <row r="64" ht="14.25" customHeight="1" s="49"/>
    <row r="65" ht="14.25" customHeight="1" s="49"/>
    <row r="66" ht="14.25" customHeight="1" s="49"/>
    <row r="67" ht="14.25" customHeight="1" s="49"/>
    <row r="68" ht="14.25" customHeight="1" s="49"/>
    <row r="69" ht="14.25" customHeight="1" s="49"/>
    <row r="70" ht="14.25" customHeight="1" s="49"/>
    <row r="71" ht="14.25" customHeight="1" s="49"/>
    <row r="72" ht="14.25" customHeight="1" s="49"/>
    <row r="73" ht="14.25" customHeight="1" s="49"/>
    <row r="74" ht="14.25" customHeight="1" s="49"/>
    <row r="75" ht="14.25" customHeight="1" s="49"/>
    <row r="76" ht="14.25" customHeight="1" s="49"/>
    <row r="77" ht="14.25" customHeight="1" s="49"/>
    <row r="78" ht="14.25" customHeight="1" s="49"/>
    <row r="79" ht="14.25" customHeight="1" s="49"/>
    <row r="80" ht="14.25" customHeight="1" s="49"/>
    <row r="81" ht="14.25" customHeight="1" s="49"/>
    <row r="82" ht="14.25" customHeight="1" s="49"/>
    <row r="83" ht="14.25" customHeight="1" s="49"/>
    <row r="84" ht="14.25" customHeight="1" s="49"/>
    <row r="85" ht="14.25" customHeight="1" s="49"/>
    <row r="86" ht="14.25" customHeight="1" s="49"/>
    <row r="87" ht="14.25" customHeight="1" s="49"/>
    <row r="88" ht="14.25" customHeight="1" s="49"/>
    <row r="89" ht="14.25" customHeight="1" s="49"/>
    <row r="90" ht="14.25" customHeight="1" s="49"/>
    <row r="91" ht="14.25" customHeight="1" s="49"/>
    <row r="92" ht="14.25" customHeight="1" s="49"/>
    <row r="93" ht="14.25" customHeight="1" s="49"/>
    <row r="94" ht="14.25" customHeight="1" s="49"/>
    <row r="95" ht="14.25" customHeight="1" s="49"/>
    <row r="96" ht="14.25" customHeight="1" s="49"/>
    <row r="97" ht="14.25" customHeight="1" s="49"/>
    <row r="98" ht="14.25" customHeight="1" s="49"/>
    <row r="99" ht="14.25" customHeight="1" s="49"/>
    <row r="100" ht="14.25" customHeight="1" s="49"/>
    <row r="101" ht="14.25" customHeight="1" s="49"/>
    <row r="102" ht="14.25" customHeight="1" s="49"/>
    <row r="103" ht="14.25" customHeight="1" s="49"/>
    <row r="104" ht="14.25" customHeight="1" s="49"/>
    <row r="105" ht="14.25" customHeight="1" s="49"/>
    <row r="106" ht="14.25" customHeight="1" s="49"/>
    <row r="107" ht="14.25" customHeight="1" s="49"/>
    <row r="108" ht="14.25" customHeight="1" s="49"/>
    <row r="109" ht="14.25" customHeight="1" s="49"/>
    <row r="110" ht="14.25" customHeight="1" s="49"/>
    <row r="111" ht="14.25" customHeight="1" s="49"/>
    <row r="112" ht="14.25" customHeight="1" s="49"/>
    <row r="113" ht="14.25" customHeight="1" s="49"/>
    <row r="114" ht="14.25" customHeight="1" s="49"/>
    <row r="115" ht="14.25" customHeight="1" s="49"/>
    <row r="116" ht="14.25" customHeight="1" s="49"/>
    <row r="117" ht="14.25" customHeight="1" s="49"/>
    <row r="118" ht="14.25" customHeight="1" s="49"/>
    <row r="119" ht="14.25" customHeight="1" s="49"/>
    <row r="120" ht="14.25" customHeight="1" s="49"/>
    <row r="121" ht="14.25" customHeight="1" s="49"/>
    <row r="122" ht="14.25" customHeight="1" s="49"/>
    <row r="123" ht="14.25" customHeight="1" s="49"/>
    <row r="124" ht="14.25" customHeight="1" s="49"/>
    <row r="125" ht="14.25" customHeight="1" s="49"/>
    <row r="126" ht="14.25" customHeight="1" s="49"/>
    <row r="127" ht="14.25" customHeight="1" s="49"/>
    <row r="128" ht="14.25" customHeight="1" s="49"/>
    <row r="129" ht="14.25" customHeight="1" s="49"/>
    <row r="130" ht="14.25" customHeight="1" s="49"/>
    <row r="131" ht="14.25" customHeight="1" s="49"/>
    <row r="132" ht="14.25" customHeight="1" s="49"/>
    <row r="133" ht="14.25" customHeight="1" s="49"/>
    <row r="134" ht="14.25" customHeight="1" s="49"/>
    <row r="135" ht="14.25" customHeight="1" s="49"/>
    <row r="136" ht="14.25" customHeight="1" s="49"/>
    <row r="137" ht="14.25" customHeight="1" s="49"/>
    <row r="138" ht="14.25" customHeight="1" s="49"/>
    <row r="139" ht="14.25" customHeight="1" s="49"/>
    <row r="140" ht="14.25" customHeight="1" s="49"/>
    <row r="141" ht="14.25" customHeight="1" s="49"/>
    <row r="142" ht="14.25" customHeight="1" s="49"/>
    <row r="143" ht="14.25" customHeight="1" s="49"/>
    <row r="144" ht="14.25" customHeight="1" s="49"/>
    <row r="145" ht="14.25" customHeight="1" s="49"/>
    <row r="146" ht="14.25" customHeight="1" s="49"/>
    <row r="147" ht="14.25" customHeight="1" s="49"/>
    <row r="148" ht="14.25" customHeight="1" s="49"/>
    <row r="149" ht="14.25" customHeight="1" s="49"/>
    <row r="150" ht="14.25" customHeight="1" s="49"/>
    <row r="151" ht="14.25" customHeight="1" s="49"/>
    <row r="152" ht="14.25" customHeight="1" s="49"/>
    <row r="153" ht="14.25" customHeight="1" s="49"/>
    <row r="154" ht="14.25" customHeight="1" s="49"/>
    <row r="155" ht="14.25" customHeight="1" s="49"/>
    <row r="156" ht="14.25" customHeight="1" s="49"/>
    <row r="157" ht="14.25" customHeight="1" s="49"/>
    <row r="158" ht="14.25" customHeight="1" s="49"/>
    <row r="159" ht="14.25" customHeight="1" s="49"/>
    <row r="160" ht="14.25" customHeight="1" s="49"/>
    <row r="161" ht="14.25" customHeight="1" s="49"/>
    <row r="162" ht="14.25" customHeight="1" s="49"/>
    <row r="163" ht="14.25" customHeight="1" s="49"/>
    <row r="164" ht="14.25" customHeight="1" s="49"/>
    <row r="165" ht="14.25" customHeight="1" s="49"/>
    <row r="166" ht="14.25" customHeight="1" s="49"/>
    <row r="167" ht="14.25" customHeight="1" s="49"/>
    <row r="168" ht="14.25" customHeight="1" s="49"/>
    <row r="169" ht="14.25" customHeight="1" s="49"/>
    <row r="170" ht="14.25" customHeight="1" s="49"/>
    <row r="171" ht="14.25" customHeight="1" s="49"/>
    <row r="172" ht="14.25" customHeight="1" s="49"/>
    <row r="173" ht="14.25" customHeight="1" s="49"/>
    <row r="174" ht="14.25" customHeight="1" s="49"/>
    <row r="175" ht="14.25" customHeight="1" s="49"/>
    <row r="176" ht="14.25" customHeight="1" s="49"/>
    <row r="177" ht="14.25" customHeight="1" s="49"/>
    <row r="178" ht="14.25" customHeight="1" s="49"/>
    <row r="179" ht="14.25" customHeight="1" s="49"/>
    <row r="180" ht="14.25" customHeight="1" s="49"/>
    <row r="181" ht="14.25" customHeight="1" s="49"/>
    <row r="182" ht="14.25" customHeight="1" s="49"/>
    <row r="183" ht="14.25" customHeight="1" s="49"/>
    <row r="184" ht="14.25" customHeight="1" s="49"/>
    <row r="185" ht="14.25" customHeight="1" s="49"/>
    <row r="186" ht="14.25" customHeight="1" s="49"/>
    <row r="187" ht="14.25" customHeight="1" s="49"/>
    <row r="188" ht="14.25" customHeight="1" s="49"/>
    <row r="189" ht="14.25" customHeight="1" s="49"/>
    <row r="190" ht="14.25" customHeight="1" s="49"/>
    <row r="191" ht="14.25" customHeight="1" s="49"/>
    <row r="192" ht="14.25" customHeight="1" s="49"/>
    <row r="193" ht="14.25" customHeight="1" s="49"/>
    <row r="194" ht="14.25" customHeight="1" s="49"/>
    <row r="195" ht="14.25" customHeight="1" s="49"/>
    <row r="196" ht="14.25" customHeight="1" s="49"/>
    <row r="197" ht="14.25" customHeight="1" s="49"/>
    <row r="198" ht="14.25" customHeight="1" s="49"/>
    <row r="199" ht="14.25" customHeight="1" s="49"/>
    <row r="200" ht="14.25" customHeight="1" s="49"/>
    <row r="201" ht="14.25" customHeight="1" s="49"/>
    <row r="202" ht="14.25" customHeight="1" s="49"/>
    <row r="203" ht="14.25" customHeight="1" s="49"/>
    <row r="204" ht="14.25" customHeight="1" s="49"/>
    <row r="205" ht="14.25" customHeight="1" s="49"/>
    <row r="206" ht="14.25" customHeight="1" s="49"/>
    <row r="207" ht="14.25" customHeight="1" s="49"/>
    <row r="208" ht="14.25" customHeight="1" s="49"/>
    <row r="209" ht="14.25" customHeight="1" s="49"/>
    <row r="210" ht="14.25" customHeight="1" s="49"/>
    <row r="211" ht="14.25" customHeight="1" s="49"/>
    <row r="212" ht="14.25" customHeight="1" s="49"/>
    <row r="213" ht="14.25" customHeight="1" s="49"/>
    <row r="214" ht="14.25" customHeight="1" s="49"/>
    <row r="215" ht="14.25" customHeight="1" s="49"/>
    <row r="216" ht="14.25" customHeight="1" s="49"/>
    <row r="217" ht="14.25" customHeight="1" s="49"/>
    <row r="218" ht="14.25" customHeight="1" s="49"/>
    <row r="219" ht="14.25" customHeight="1" s="49"/>
    <row r="220" ht="14.2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Guzman Bozo, Jorge</dc:creator>
  <dcterms:created xmlns:dcterms="http://purl.org/dc/terms/" xmlns:xsi="http://www.w3.org/2001/XMLSchema-instance" xsi:type="dcterms:W3CDTF">2022-11-12T13:19:55Z</dcterms:created>
  <dcterms:modified xmlns:dcterms="http://purl.org/dc/terms/" xmlns:xsi="http://www.w3.org/2001/XMLSchema-instance" xsi:type="dcterms:W3CDTF">2026-09-25T23:29:55Z</dcterms:modified>
  <cp:lastModifiedBy>DOCENTE</cp:lastModifiedBy>
</cp:coreProperties>
</file>